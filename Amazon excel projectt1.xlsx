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JWALA SAI PRIYA\Desktop\Amazon Sales Project\"/>
    </mc:Choice>
  </mc:AlternateContent>
  <xr:revisionPtr revIDLastSave="0" documentId="8_{1FF5F2CD-2BA2-4248-9C85-93B2F132B0A4}" xr6:coauthVersionLast="47" xr6:coauthVersionMax="47" xr10:uidLastSave="{00000000-0000-0000-0000-000000000000}"/>
  <bookViews>
    <workbookView xWindow="-108" yWindow="-108" windowWidth="23256" windowHeight="13896" activeTab="2" xr2:uid="{80B3B757-169E-45B6-89C9-D705E5FE94D5}"/>
  </bookViews>
  <sheets>
    <sheet name="Pivot tables" sheetId="3" r:id="rId1"/>
    <sheet name="Data" sheetId="2" r:id="rId2"/>
    <sheet name="Dashboard" sheetId="4" r:id="rId3"/>
  </sheets>
  <definedNames>
    <definedName name="_xlchart.v5.0" hidden="1">'Pivot tables'!$AE$3</definedName>
    <definedName name="_xlchart.v5.1" hidden="1">'Pivot tables'!$AE$4:$AE$9</definedName>
    <definedName name="_xlchart.v5.2" hidden="1">'Pivot tables'!$AF$3</definedName>
    <definedName name="_xlchart.v5.3" hidden="1">'Pivot tables'!$AF$4:$AF$9</definedName>
    <definedName name="Slicer_Month">#N/A</definedName>
    <definedName name="Slicer_Payment_Method">#N/A</definedName>
    <definedName name="Slicer_Sell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5" i="3" l="1"/>
  <c r="AF6" i="3"/>
  <c r="AF7" i="3"/>
  <c r="AF8" i="3"/>
  <c r="AF9" i="3"/>
  <c r="AF4" i="3"/>
  <c r="AF10" i="3" s="1"/>
  <c r="AG4" i="3" s="1"/>
  <c r="AE5" i="3"/>
  <c r="AE6" i="3"/>
  <c r="AE7" i="3"/>
  <c r="AE8" i="3"/>
  <c r="AE9" i="3"/>
  <c r="Z5" i="3"/>
  <c r="Z6" i="3"/>
  <c r="Z7" i="3"/>
  <c r="Z8" i="3"/>
  <c r="Z9" i="3"/>
  <c r="W4" i="3"/>
  <c r="X4" i="3"/>
  <c r="Y4" i="3"/>
  <c r="Z4" i="3"/>
  <c r="W5" i="3"/>
  <c r="X5" i="3"/>
  <c r="Y5" i="3"/>
  <c r="W6" i="3"/>
  <c r="X6" i="3"/>
  <c r="Y6" i="3"/>
  <c r="W7" i="3"/>
  <c r="X7" i="3"/>
  <c r="Y7" i="3"/>
  <c r="W8" i="3"/>
  <c r="X8" i="3"/>
  <c r="Y8" i="3"/>
  <c r="W9" i="3"/>
  <c r="X9" i="3"/>
  <c r="Y9" i="3"/>
  <c r="V5" i="3"/>
  <c r="V6" i="3"/>
  <c r="V7" i="3"/>
  <c r="V8" i="3"/>
  <c r="V9" i="3"/>
  <c r="V4" i="3"/>
  <c r="AG9" i="3" l="1"/>
  <c r="AG8" i="3"/>
  <c r="AG7" i="3"/>
  <c r="AG6" i="3"/>
  <c r="AG5" i="3"/>
  <c r="Z10" i="3"/>
</calcChain>
</file>

<file path=xl/sharedStrings.xml><?xml version="1.0" encoding="utf-8"?>
<sst xmlns="http://schemas.openxmlformats.org/spreadsheetml/2006/main" count="6584" uniqueCount="870">
  <si>
    <t>Order_ID</t>
  </si>
  <si>
    <t>Date</t>
  </si>
  <si>
    <t>Customer_Name</t>
  </si>
  <si>
    <t>Product</t>
  </si>
  <si>
    <t>Category</t>
  </si>
  <si>
    <t>State</t>
  </si>
  <si>
    <t>Seller</t>
  </si>
  <si>
    <t>Payment_Method</t>
  </si>
  <si>
    <t>Sales</t>
  </si>
  <si>
    <t>Quantity</t>
  </si>
  <si>
    <t>Rating</t>
  </si>
  <si>
    <t>Delivery</t>
  </si>
  <si>
    <t>Month</t>
  </si>
  <si>
    <t>ORD10001</t>
  </si>
  <si>
    <t>21/05/2025</t>
  </si>
  <si>
    <t>Rohit</t>
  </si>
  <si>
    <t>Shampoo</t>
  </si>
  <si>
    <t>Beauty</t>
  </si>
  <si>
    <t>Karnataka</t>
  </si>
  <si>
    <t>BookWorld</t>
  </si>
  <si>
    <t>Cash</t>
  </si>
  <si>
    <t>May</t>
  </si>
  <si>
    <t>ORD10002</t>
  </si>
  <si>
    <t>15/10/2025</t>
  </si>
  <si>
    <t>Kavya</t>
  </si>
  <si>
    <t>Chair</t>
  </si>
  <si>
    <t>Home</t>
  </si>
  <si>
    <t>Gujrat</t>
  </si>
  <si>
    <t>TechStore</t>
  </si>
  <si>
    <t>Net Banking</t>
  </si>
  <si>
    <t>Oct</t>
  </si>
  <si>
    <t>ORD10003</t>
  </si>
  <si>
    <t>21/04/2025</t>
  </si>
  <si>
    <t>Neha</t>
  </si>
  <si>
    <t>iPhone 15</t>
  </si>
  <si>
    <t>Electronics</t>
  </si>
  <si>
    <t>Card</t>
  </si>
  <si>
    <t>Apr</t>
  </si>
  <si>
    <t>ORD10004</t>
  </si>
  <si>
    <t>10/10/2025</t>
  </si>
  <si>
    <t>Rahul</t>
  </si>
  <si>
    <t>Shoes</t>
  </si>
  <si>
    <t>Fashion</t>
  </si>
  <si>
    <t>ORD10005</t>
  </si>
  <si>
    <t>21/08/2025</t>
  </si>
  <si>
    <t>Akash</t>
  </si>
  <si>
    <t>Jeans</t>
  </si>
  <si>
    <t>Aug</t>
  </si>
  <si>
    <t>ORD10006</t>
  </si>
  <si>
    <t>14/07/2025</t>
  </si>
  <si>
    <t>Anjali</t>
  </si>
  <si>
    <t>Business Book</t>
  </si>
  <si>
    <t>Books</t>
  </si>
  <si>
    <t>Telangana</t>
  </si>
  <si>
    <t>BeautyCare</t>
  </si>
  <si>
    <t>Jul</t>
  </si>
  <si>
    <t>ORD10007</t>
  </si>
  <si>
    <t>19/04/2025</t>
  </si>
  <si>
    <t>Divya</t>
  </si>
  <si>
    <t>Bedsheet</t>
  </si>
  <si>
    <t>Maharashtra</t>
  </si>
  <si>
    <t>ORD10008</t>
  </si>
  <si>
    <t>18/09/2025</t>
  </si>
  <si>
    <t>Python Book</t>
  </si>
  <si>
    <t>UPI</t>
  </si>
  <si>
    <t>Sep</t>
  </si>
  <si>
    <t>ORD10009</t>
  </si>
  <si>
    <t>28/09/2025</t>
  </si>
  <si>
    <t>Arjun</t>
  </si>
  <si>
    <t>Lamp</t>
  </si>
  <si>
    <t>ORD10010</t>
  </si>
  <si>
    <t>15/05/2025</t>
  </si>
  <si>
    <t>Ali</t>
  </si>
  <si>
    <t>ORD10011</t>
  </si>
  <si>
    <t>08/09/2025</t>
  </si>
  <si>
    <t>Vikas</t>
  </si>
  <si>
    <t>ORD10012</t>
  </si>
  <si>
    <t>07/03/2025</t>
  </si>
  <si>
    <t>Naveen</t>
  </si>
  <si>
    <t>Mixer</t>
  </si>
  <si>
    <t>Mar</t>
  </si>
  <si>
    <t>ORD10013</t>
  </si>
  <si>
    <t>13/08/2025</t>
  </si>
  <si>
    <t>Delhi</t>
  </si>
  <si>
    <t>ORD10014</t>
  </si>
  <si>
    <t>04/02/2025</t>
  </si>
  <si>
    <t>Perfume</t>
  </si>
  <si>
    <t>Feb</t>
  </si>
  <si>
    <t>ORD10015</t>
  </si>
  <si>
    <t>08/04/2025</t>
  </si>
  <si>
    <t>Watch</t>
  </si>
  <si>
    <t>ORD10016</t>
  </si>
  <si>
    <t>09/04/2025</t>
  </si>
  <si>
    <t>ORD10017</t>
  </si>
  <si>
    <t>17/02/2025</t>
  </si>
  <si>
    <t>ORD10018</t>
  </si>
  <si>
    <t>27/05/2025</t>
  </si>
  <si>
    <t>AirPods Pro</t>
  </si>
  <si>
    <t>ORD10019</t>
  </si>
  <si>
    <t>27/10/2025</t>
  </si>
  <si>
    <t>Tamil Nadu</t>
  </si>
  <si>
    <t>ORD10020</t>
  </si>
  <si>
    <t>19/10/2025</t>
  </si>
  <si>
    <t>Priya</t>
  </si>
  <si>
    <t>HomeMart</t>
  </si>
  <si>
    <t>ORD10021</t>
  </si>
  <si>
    <t>09/03/2025</t>
  </si>
  <si>
    <t>ORD10022</t>
  </si>
  <si>
    <t>05/02/2025</t>
  </si>
  <si>
    <t>Cookbook</t>
  </si>
  <si>
    <t>ORD10023</t>
  </si>
  <si>
    <t>24/02/2025</t>
  </si>
  <si>
    <t>Pooja</t>
  </si>
  <si>
    <t>Laptop</t>
  </si>
  <si>
    <t>ORD10024</t>
  </si>
  <si>
    <t>22/05/2025</t>
  </si>
  <si>
    <t>Lipstick</t>
  </si>
  <si>
    <t>ORD10025</t>
  </si>
  <si>
    <t>20/12/2025</t>
  </si>
  <si>
    <t>Dec</t>
  </si>
  <si>
    <t>ORD10026</t>
  </si>
  <si>
    <t>16/12/2025</t>
  </si>
  <si>
    <t>Aman</t>
  </si>
  <si>
    <t>ORD10027</t>
  </si>
  <si>
    <t>20/06/2025</t>
  </si>
  <si>
    <t>Sanjay</t>
  </si>
  <si>
    <t>Jun</t>
  </si>
  <si>
    <t>ORD10028</t>
  </si>
  <si>
    <t>27/04/2025</t>
  </si>
  <si>
    <t>Kiran</t>
  </si>
  <si>
    <t>MacBook Air</t>
  </si>
  <si>
    <t>ORD10029</t>
  </si>
  <si>
    <t>14/05/2025</t>
  </si>
  <si>
    <t>Vijay</t>
  </si>
  <si>
    <t>ORD10030</t>
  </si>
  <si>
    <t>11/05/2025</t>
  </si>
  <si>
    <t>ORD10031</t>
  </si>
  <si>
    <t>06/12/2025</t>
  </si>
  <si>
    <t>ORD10032</t>
  </si>
  <si>
    <t>13/12/2025</t>
  </si>
  <si>
    <t>ORD10033</t>
  </si>
  <si>
    <t>12/12/2025</t>
  </si>
  <si>
    <t>ORD10034</t>
  </si>
  <si>
    <t>13/01/2025</t>
  </si>
  <si>
    <t>Jan</t>
  </si>
  <si>
    <t>ORD10035</t>
  </si>
  <si>
    <t>Meena</t>
  </si>
  <si>
    <t>Novel</t>
  </si>
  <si>
    <t>ORD10036</t>
  </si>
  <si>
    <t>08/10/2025</t>
  </si>
  <si>
    <t>ORD10037</t>
  </si>
  <si>
    <t>ORD10038</t>
  </si>
  <si>
    <t>28/07/2025</t>
  </si>
  <si>
    <t>ORD10039</t>
  </si>
  <si>
    <t>30/06/2025</t>
  </si>
  <si>
    <t>ORD10040</t>
  </si>
  <si>
    <t>22/06/2025</t>
  </si>
  <si>
    <t>ORD10041</t>
  </si>
  <si>
    <t>25/08/2025</t>
  </si>
  <si>
    <t>T-Shirt</t>
  </si>
  <si>
    <t>ORD10042</t>
  </si>
  <si>
    <t>10/01/2025</t>
  </si>
  <si>
    <t>ORD10043</t>
  </si>
  <si>
    <t>09/12/2025</t>
  </si>
  <si>
    <t>ORD10044</t>
  </si>
  <si>
    <t>Sony Headphones</t>
  </si>
  <si>
    <t>ORD10045</t>
  </si>
  <si>
    <t>05/12/2025</t>
  </si>
  <si>
    <t>ORD10046</t>
  </si>
  <si>
    <t>25/09/2025</t>
  </si>
  <si>
    <t>Sneha</t>
  </si>
  <si>
    <t>ORD10047</t>
  </si>
  <si>
    <t>26/08/2025</t>
  </si>
  <si>
    <t>ORD10048</t>
  </si>
  <si>
    <t>22/09/2025</t>
  </si>
  <si>
    <t>ORD10049</t>
  </si>
  <si>
    <t>27/07/2025</t>
  </si>
  <si>
    <t>ORD10050</t>
  </si>
  <si>
    <t>29/04/2025</t>
  </si>
  <si>
    <t>Ria</t>
  </si>
  <si>
    <t>ORD10051</t>
  </si>
  <si>
    <t>21/02/2025</t>
  </si>
  <si>
    <t>ORD10052</t>
  </si>
  <si>
    <t>22/02/2025</t>
  </si>
  <si>
    <t>ORD10053</t>
  </si>
  <si>
    <t>07/02/2025</t>
  </si>
  <si>
    <t>ORD10054</t>
  </si>
  <si>
    <t>02/06/2025</t>
  </si>
  <si>
    <t>ORD10055</t>
  </si>
  <si>
    <t>22/03/2025</t>
  </si>
  <si>
    <t>ORD10056</t>
  </si>
  <si>
    <t>17/11/2025</t>
  </si>
  <si>
    <t>Nov</t>
  </si>
  <si>
    <t>ORD10057</t>
  </si>
  <si>
    <t>ORD10058</t>
  </si>
  <si>
    <t>09/05/2025</t>
  </si>
  <si>
    <t>ORD10059</t>
  </si>
  <si>
    <t>23/05/2025</t>
  </si>
  <si>
    <t>ORD10060</t>
  </si>
  <si>
    <t>22/12/2025</t>
  </si>
  <si>
    <t>ORD10061</t>
  </si>
  <si>
    <t>31/07/2025</t>
  </si>
  <si>
    <t>ORD10062</t>
  </si>
  <si>
    <t>04/03/2025</t>
  </si>
  <si>
    <t>ORD10063</t>
  </si>
  <si>
    <t>13/09/2025</t>
  </si>
  <si>
    <t>ORD10064</t>
  </si>
  <si>
    <t>24/06/2025</t>
  </si>
  <si>
    <t>ORD10065</t>
  </si>
  <si>
    <t>06/10/2025</t>
  </si>
  <si>
    <t>ORD10066</t>
  </si>
  <si>
    <t>11/09/2025</t>
  </si>
  <si>
    <t>ORD10067</t>
  </si>
  <si>
    <t>02/12/2025</t>
  </si>
  <si>
    <t>ORD10068</t>
  </si>
  <si>
    <t>13/11/2025</t>
  </si>
  <si>
    <t>ORD10069</t>
  </si>
  <si>
    <t>29/01/2025</t>
  </si>
  <si>
    <t>Face Wash</t>
  </si>
  <si>
    <t>ORD10070</t>
  </si>
  <si>
    <t>12/09/2025</t>
  </si>
  <si>
    <t>ORD10071</t>
  </si>
  <si>
    <t>28/10/2025</t>
  </si>
  <si>
    <t>ORD10072</t>
  </si>
  <si>
    <t>22/10/2025</t>
  </si>
  <si>
    <t>ORD10073</t>
  </si>
  <si>
    <t>23/04/2025</t>
  </si>
  <si>
    <t>ORD10074</t>
  </si>
  <si>
    <t>01/06/2025</t>
  </si>
  <si>
    <t>ORD10075</t>
  </si>
  <si>
    <t>ORD10076</t>
  </si>
  <si>
    <t>02/10/2025</t>
  </si>
  <si>
    <t>ORD10077</t>
  </si>
  <si>
    <t>09/11/2025</t>
  </si>
  <si>
    <t>ORD10078</t>
  </si>
  <si>
    <t>01/05/2025</t>
  </si>
  <si>
    <t>ORD10079</t>
  </si>
  <si>
    <t>24/05/2025</t>
  </si>
  <si>
    <t>ORD10080</t>
  </si>
  <si>
    <t>ORD10081</t>
  </si>
  <si>
    <t>ORD10082</t>
  </si>
  <si>
    <t>ORD10083</t>
  </si>
  <si>
    <t>02/02/2025</t>
  </si>
  <si>
    <t>ORD10084</t>
  </si>
  <si>
    <t>03/09/2025</t>
  </si>
  <si>
    <t>ORD10085</t>
  </si>
  <si>
    <t>21/11/2025</t>
  </si>
  <si>
    <t>ORD10086</t>
  </si>
  <si>
    <t>ORD10087</t>
  </si>
  <si>
    <t>ORD10088</t>
  </si>
  <si>
    <t>04/11/2025</t>
  </si>
  <si>
    <t>ORD10089</t>
  </si>
  <si>
    <t>21/10/2025</t>
  </si>
  <si>
    <t>ORD10090</t>
  </si>
  <si>
    <t>ORD10091</t>
  </si>
  <si>
    <t>02/11/2025</t>
  </si>
  <si>
    <t>ORD10092</t>
  </si>
  <si>
    <t>01/08/2025</t>
  </si>
  <si>
    <t>ORD10093</t>
  </si>
  <si>
    <t>03/11/2025</t>
  </si>
  <si>
    <t>ORD10094</t>
  </si>
  <si>
    <t>08/03/2025</t>
  </si>
  <si>
    <t>ORD10095</t>
  </si>
  <si>
    <t>09/02/2025</t>
  </si>
  <si>
    <t>ORD10096</t>
  </si>
  <si>
    <t>ORD10097</t>
  </si>
  <si>
    <t>ORD10098</t>
  </si>
  <si>
    <t>05/11/2025</t>
  </si>
  <si>
    <t>ORD10099</t>
  </si>
  <si>
    <t>ORD10100</t>
  </si>
  <si>
    <t>ORD10101</t>
  </si>
  <si>
    <t>14/09/2025</t>
  </si>
  <si>
    <t>ORD10102</t>
  </si>
  <si>
    <t>06/07/2025</t>
  </si>
  <si>
    <t>ORD10103</t>
  </si>
  <si>
    <t>03/12/2025</t>
  </si>
  <si>
    <t>ORD10104</t>
  </si>
  <si>
    <t>26/11/2025</t>
  </si>
  <si>
    <t>ORD10105</t>
  </si>
  <si>
    <t>06/09/2025</t>
  </si>
  <si>
    <t>ORD10106</t>
  </si>
  <si>
    <t>ORD10107</t>
  </si>
  <si>
    <t>18/08/2025</t>
  </si>
  <si>
    <t>ORD10108</t>
  </si>
  <si>
    <t>06/11/2025</t>
  </si>
  <si>
    <t>ORD10109</t>
  </si>
  <si>
    <t>12/08/2025</t>
  </si>
  <si>
    <t>ORD10110</t>
  </si>
  <si>
    <t>13/06/2025</t>
  </si>
  <si>
    <t>ORD10111</t>
  </si>
  <si>
    <t>10/02/2025</t>
  </si>
  <si>
    <t>ORD10112</t>
  </si>
  <si>
    <t>03/08/2025</t>
  </si>
  <si>
    <t>ORD10113</t>
  </si>
  <si>
    <t>04/05/2025</t>
  </si>
  <si>
    <t>ORD10114</t>
  </si>
  <si>
    <t>09/01/2025</t>
  </si>
  <si>
    <t>ORD10115</t>
  </si>
  <si>
    <t>23/12/2025</t>
  </si>
  <si>
    <t>ORD10116</t>
  </si>
  <si>
    <t>23/07/2025</t>
  </si>
  <si>
    <t>ORD10117</t>
  </si>
  <si>
    <t>14/08/2025</t>
  </si>
  <si>
    <t>ORD10118</t>
  </si>
  <si>
    <t>07/10/2025</t>
  </si>
  <si>
    <t>ORD10119</t>
  </si>
  <si>
    <t>17/08/2025</t>
  </si>
  <si>
    <t>ORD10120</t>
  </si>
  <si>
    <t>16/01/2025</t>
  </si>
  <si>
    <t>ORD10121</t>
  </si>
  <si>
    <t>10/07/2025</t>
  </si>
  <si>
    <t>ORD10122</t>
  </si>
  <si>
    <t>ORD10123</t>
  </si>
  <si>
    <t>16/08/2025</t>
  </si>
  <si>
    <t>ORD10124</t>
  </si>
  <si>
    <t>ORD10125</t>
  </si>
  <si>
    <t>ORD10126</t>
  </si>
  <si>
    <t>ORD10127</t>
  </si>
  <si>
    <t>ORD10128</t>
  </si>
  <si>
    <t>16/10/2025</t>
  </si>
  <si>
    <t>ORD10129</t>
  </si>
  <si>
    <t>25/11/2025</t>
  </si>
  <si>
    <t>ORD10130</t>
  </si>
  <si>
    <t>ORD10131</t>
  </si>
  <si>
    <t>07/05/2025</t>
  </si>
  <si>
    <t>ORD10132</t>
  </si>
  <si>
    <t>21/09/2025</t>
  </si>
  <si>
    <t>ORD10133</t>
  </si>
  <si>
    <t>ORD10134</t>
  </si>
  <si>
    <t>ORD10135</t>
  </si>
  <si>
    <t>11/07/2025</t>
  </si>
  <si>
    <t>ORD10136</t>
  </si>
  <si>
    <t>18/03/2025</t>
  </si>
  <si>
    <t>ORD10137</t>
  </si>
  <si>
    <t>08/07/2025</t>
  </si>
  <si>
    <t>ORD10138</t>
  </si>
  <si>
    <t>29/03/2025</t>
  </si>
  <si>
    <t>ORD10139</t>
  </si>
  <si>
    <t>ORD10140</t>
  </si>
  <si>
    <t>ORD10141</t>
  </si>
  <si>
    <t>ORD10142</t>
  </si>
  <si>
    <t>ORD10143</t>
  </si>
  <si>
    <t>05/05/2025</t>
  </si>
  <si>
    <t>ORD10144</t>
  </si>
  <si>
    <t>09/10/2025</t>
  </si>
  <si>
    <t>ORD10145</t>
  </si>
  <si>
    <t>01/04/2025</t>
  </si>
  <si>
    <t>ORD10146</t>
  </si>
  <si>
    <t>20/05/2025</t>
  </si>
  <si>
    <t>ORD10147</t>
  </si>
  <si>
    <t>31/03/2025</t>
  </si>
  <si>
    <t>ORD10148</t>
  </si>
  <si>
    <t>16/07/2025</t>
  </si>
  <si>
    <t>ORD10149</t>
  </si>
  <si>
    <t>27/08/2025</t>
  </si>
  <si>
    <t>ORD10150</t>
  </si>
  <si>
    <t>20/03/2025</t>
  </si>
  <si>
    <t>ORD10151</t>
  </si>
  <si>
    <t>ORD10152</t>
  </si>
  <si>
    <t>16/02/2025</t>
  </si>
  <si>
    <t>ORD10153</t>
  </si>
  <si>
    <t>02/01/2025</t>
  </si>
  <si>
    <t>ORD10154</t>
  </si>
  <si>
    <t>11/03/2025</t>
  </si>
  <si>
    <t>ORD10155</t>
  </si>
  <si>
    <t>25/04/2025</t>
  </si>
  <si>
    <t>ORD10156</t>
  </si>
  <si>
    <t>27/02/2025</t>
  </si>
  <si>
    <t>ORD10157</t>
  </si>
  <si>
    <t>25/07/2025</t>
  </si>
  <si>
    <t>ORD10158</t>
  </si>
  <si>
    <t>15/03/2025</t>
  </si>
  <si>
    <t>ORD10159</t>
  </si>
  <si>
    <t>26/09/2025</t>
  </si>
  <si>
    <t>ORD10160</t>
  </si>
  <si>
    <t>ORD10161</t>
  </si>
  <si>
    <t>27/01/2025</t>
  </si>
  <si>
    <t>ORD10162</t>
  </si>
  <si>
    <t>ORD10163</t>
  </si>
  <si>
    <t>04/07/2025</t>
  </si>
  <si>
    <t>ORD10164</t>
  </si>
  <si>
    <t>11/10/2025</t>
  </si>
  <si>
    <t>ORD10165</t>
  </si>
  <si>
    <t>24/08/2025</t>
  </si>
  <si>
    <t>ORD10166</t>
  </si>
  <si>
    <t>12/03/2025</t>
  </si>
  <si>
    <t>ORD10167</t>
  </si>
  <si>
    <t>30/09/2025</t>
  </si>
  <si>
    <t>ORD10168</t>
  </si>
  <si>
    <t>ORD10169</t>
  </si>
  <si>
    <t>ORD10170</t>
  </si>
  <si>
    <t>11/08/2025</t>
  </si>
  <si>
    <t>ORD10171</t>
  </si>
  <si>
    <t>02/04/2025</t>
  </si>
  <si>
    <t>ORD10172</t>
  </si>
  <si>
    <t>ORD10173</t>
  </si>
  <si>
    <t>19/08/2025</t>
  </si>
  <si>
    <t>ORD10174</t>
  </si>
  <si>
    <t>18/05/2025</t>
  </si>
  <si>
    <t>ORD10175</t>
  </si>
  <si>
    <t>14/02/2025</t>
  </si>
  <si>
    <t>ORD10176</t>
  </si>
  <si>
    <t>30/05/2025</t>
  </si>
  <si>
    <t>ORD10177</t>
  </si>
  <si>
    <t>16/03/2025</t>
  </si>
  <si>
    <t>ORD10178</t>
  </si>
  <si>
    <t>23/08/2025</t>
  </si>
  <si>
    <t>ORD10179</t>
  </si>
  <si>
    <t>03/06/2025</t>
  </si>
  <si>
    <t>ORD10180</t>
  </si>
  <si>
    <t>ORD10181</t>
  </si>
  <si>
    <t>21/12/2025</t>
  </si>
  <si>
    <t>ORD10182</t>
  </si>
  <si>
    <t>26/10/2025</t>
  </si>
  <si>
    <t>ORD10183</t>
  </si>
  <si>
    <t>27/03/2025</t>
  </si>
  <si>
    <t>ORD10184</t>
  </si>
  <si>
    <t>ORD10185</t>
  </si>
  <si>
    <t>22/08/2025</t>
  </si>
  <si>
    <t>ORD10186</t>
  </si>
  <si>
    <t>25/06/2025</t>
  </si>
  <si>
    <t>ORD10187</t>
  </si>
  <si>
    <t>06/04/2025</t>
  </si>
  <si>
    <t>ORD10188</t>
  </si>
  <si>
    <t>23/10/2025</t>
  </si>
  <si>
    <t>ORD10189</t>
  </si>
  <si>
    <t>ORD10190</t>
  </si>
  <si>
    <t>03/05/2025</t>
  </si>
  <si>
    <t>ORD10191</t>
  </si>
  <si>
    <t>12/10/2025</t>
  </si>
  <si>
    <t>ORD10192</t>
  </si>
  <si>
    <t>ORD10193</t>
  </si>
  <si>
    <t>28/03/2025</t>
  </si>
  <si>
    <t>ORD10194</t>
  </si>
  <si>
    <t>06/08/2025</t>
  </si>
  <si>
    <t>ORD10195</t>
  </si>
  <si>
    <t>30/12/2025</t>
  </si>
  <si>
    <t>ORD10196</t>
  </si>
  <si>
    <t>ORD10197</t>
  </si>
  <si>
    <t>ORD10198</t>
  </si>
  <si>
    <t>17/06/2025</t>
  </si>
  <si>
    <t>ORD10199</t>
  </si>
  <si>
    <t>ORD10200</t>
  </si>
  <si>
    <t>ORD10201</t>
  </si>
  <si>
    <t>12/02/2025</t>
  </si>
  <si>
    <t>ORD10202</t>
  </si>
  <si>
    <t>02/09/2025</t>
  </si>
  <si>
    <t>ORD10203</t>
  </si>
  <si>
    <t>ORD10204</t>
  </si>
  <si>
    <t>ORD10205</t>
  </si>
  <si>
    <t>29/06/2025</t>
  </si>
  <si>
    <t>ORD10206</t>
  </si>
  <si>
    <t>20/07/2025</t>
  </si>
  <si>
    <t>ORD10207</t>
  </si>
  <si>
    <t>18/07/2025</t>
  </si>
  <si>
    <t>ORD10208</t>
  </si>
  <si>
    <t>17/09/2025</t>
  </si>
  <si>
    <t>ORD10209</t>
  </si>
  <si>
    <t>21/03/2025</t>
  </si>
  <si>
    <t>ORD10210</t>
  </si>
  <si>
    <t>03/03/2025</t>
  </si>
  <si>
    <t>ORD10211</t>
  </si>
  <si>
    <t>21/06/2025</t>
  </si>
  <si>
    <t>ORD10212</t>
  </si>
  <si>
    <t>ORD10213</t>
  </si>
  <si>
    <t>ORD10214</t>
  </si>
  <si>
    <t>ORD10215</t>
  </si>
  <si>
    <t>ORD10216</t>
  </si>
  <si>
    <t>30/04/2025</t>
  </si>
  <si>
    <t>ORD10217</t>
  </si>
  <si>
    <t>14/03/2025</t>
  </si>
  <si>
    <t>ORD10218</t>
  </si>
  <si>
    <t>23/11/2025</t>
  </si>
  <si>
    <t>ORD10219</t>
  </si>
  <si>
    <t>ORD10220</t>
  </si>
  <si>
    <t>17/04/2025</t>
  </si>
  <si>
    <t>ORD10221</t>
  </si>
  <si>
    <t>31/12/2025</t>
  </si>
  <si>
    <t>ORD10222</t>
  </si>
  <si>
    <t>ORD10223</t>
  </si>
  <si>
    <t>03/02/2025</t>
  </si>
  <si>
    <t>ORD10224</t>
  </si>
  <si>
    <t>15/07/2025</t>
  </si>
  <si>
    <t>ORD10225</t>
  </si>
  <si>
    <t>ORD10226</t>
  </si>
  <si>
    <t>26/06/2025</t>
  </si>
  <si>
    <t>ORD10227</t>
  </si>
  <si>
    <t>23/03/2025</t>
  </si>
  <si>
    <t>ORD10228</t>
  </si>
  <si>
    <t>31/10/2025</t>
  </si>
  <si>
    <t>ORD10229</t>
  </si>
  <si>
    <t>20/01/2025</t>
  </si>
  <si>
    <t>ORD10230</t>
  </si>
  <si>
    <t>15/06/2025</t>
  </si>
  <si>
    <t>ORD10231</t>
  </si>
  <si>
    <t>ORD10232</t>
  </si>
  <si>
    <t>ORD10233</t>
  </si>
  <si>
    <t>ORD10234</t>
  </si>
  <si>
    <t>ORD10235</t>
  </si>
  <si>
    <t>ORD10236</t>
  </si>
  <si>
    <t>ORD10237</t>
  </si>
  <si>
    <t>ORD10238</t>
  </si>
  <si>
    <t>ORD10239</t>
  </si>
  <si>
    <t>11/02/2025</t>
  </si>
  <si>
    <t>ORD10240</t>
  </si>
  <si>
    <t>09/07/2025</t>
  </si>
  <si>
    <t>ORD10241</t>
  </si>
  <si>
    <t>05/10/2025</t>
  </si>
  <si>
    <t>ORD10242</t>
  </si>
  <si>
    <t>ORD10243</t>
  </si>
  <si>
    <t>06/03/2025</t>
  </si>
  <si>
    <t>ORD10244</t>
  </si>
  <si>
    <t>ORD10245</t>
  </si>
  <si>
    <t>ORD10246</t>
  </si>
  <si>
    <t>26/07/2025</t>
  </si>
  <si>
    <t>ORD10247</t>
  </si>
  <si>
    <t>09/06/2025</t>
  </si>
  <si>
    <t>ORD10248</t>
  </si>
  <si>
    <t>ORD10249</t>
  </si>
  <si>
    <t>30/03/2025</t>
  </si>
  <si>
    <t>ORD10250</t>
  </si>
  <si>
    <t>22/11/2025</t>
  </si>
  <si>
    <t>ORD10251</t>
  </si>
  <si>
    <t>19/12/2025</t>
  </si>
  <si>
    <t>ORD10252</t>
  </si>
  <si>
    <t>20/09/2025</t>
  </si>
  <si>
    <t>ORD10253</t>
  </si>
  <si>
    <t>28/06/2025</t>
  </si>
  <si>
    <t>ORD10254</t>
  </si>
  <si>
    <t>ORD10255</t>
  </si>
  <si>
    <t>30/01/2025</t>
  </si>
  <si>
    <t>ORD10256</t>
  </si>
  <si>
    <t>ORD10257</t>
  </si>
  <si>
    <t>13/05/2025</t>
  </si>
  <si>
    <t>ORD10258</t>
  </si>
  <si>
    <t>ORD10259</t>
  </si>
  <si>
    <t>19/03/2025</t>
  </si>
  <si>
    <t>ORD10260</t>
  </si>
  <si>
    <t>03/01/2025</t>
  </si>
  <si>
    <t>ORD10261</t>
  </si>
  <si>
    <t>ORD10262</t>
  </si>
  <si>
    <t>ORD10263</t>
  </si>
  <si>
    <t>ORD10264</t>
  </si>
  <si>
    <t>29/10/2025</t>
  </si>
  <si>
    <t>ORD10265</t>
  </si>
  <si>
    <t>02/08/2025</t>
  </si>
  <si>
    <t>ORD10266</t>
  </si>
  <si>
    <t>15/11/2025</t>
  </si>
  <si>
    <t>ORD10267</t>
  </si>
  <si>
    <t>03/07/2025</t>
  </si>
  <si>
    <t>ORD10268</t>
  </si>
  <si>
    <t>ORD10269</t>
  </si>
  <si>
    <t>ORD10270</t>
  </si>
  <si>
    <t>ORD10271</t>
  </si>
  <si>
    <t>ORD10272</t>
  </si>
  <si>
    <t>17/12/2025</t>
  </si>
  <si>
    <t>ORD10273</t>
  </si>
  <si>
    <t>10/08/2025</t>
  </si>
  <si>
    <t>ORD10274</t>
  </si>
  <si>
    <t>08/02/2025</t>
  </si>
  <si>
    <t>ORD10275</t>
  </si>
  <si>
    <t>15/02/2025</t>
  </si>
  <si>
    <t>ORD10276</t>
  </si>
  <si>
    <t>ORD10277</t>
  </si>
  <si>
    <t>19/02/2025</t>
  </si>
  <si>
    <t>ORD10278</t>
  </si>
  <si>
    <t>ORD10279</t>
  </si>
  <si>
    <t>ORD10280</t>
  </si>
  <si>
    <t>ORD10281</t>
  </si>
  <si>
    <t>ORD10282</t>
  </si>
  <si>
    <t>15/09/2025</t>
  </si>
  <si>
    <t>ORD10283</t>
  </si>
  <si>
    <t>ORD10284</t>
  </si>
  <si>
    <t>15/04/2025</t>
  </si>
  <si>
    <t>ORD10285</t>
  </si>
  <si>
    <t>ORD10286</t>
  </si>
  <si>
    <t>10/04/2025</t>
  </si>
  <si>
    <t>ORD10287</t>
  </si>
  <si>
    <t>ORD10288</t>
  </si>
  <si>
    <t>09/09/2025</t>
  </si>
  <si>
    <t>ORD10289</t>
  </si>
  <si>
    <t>20/04/2025</t>
  </si>
  <si>
    <t>ORD10290</t>
  </si>
  <si>
    <t>21/01/2025</t>
  </si>
  <si>
    <t>ORD10291</t>
  </si>
  <si>
    <t>30/11/2025</t>
  </si>
  <si>
    <t>ORD10292</t>
  </si>
  <si>
    <t>03/10/2025</t>
  </si>
  <si>
    <t>ORD10293</t>
  </si>
  <si>
    <t>06/02/2025</t>
  </si>
  <si>
    <t>ORD10294</t>
  </si>
  <si>
    <t>ORD10295</t>
  </si>
  <si>
    <t>ORD10296</t>
  </si>
  <si>
    <t>05/03/2025</t>
  </si>
  <si>
    <t>ORD10297</t>
  </si>
  <si>
    <t>12/11/2025</t>
  </si>
  <si>
    <t>ORD10298</t>
  </si>
  <si>
    <t>12/04/2025</t>
  </si>
  <si>
    <t>ORD10299</t>
  </si>
  <si>
    <t>04/12/2025</t>
  </si>
  <si>
    <t>ORD10300</t>
  </si>
  <si>
    <t>ORD10301</t>
  </si>
  <si>
    <t>ORD10302</t>
  </si>
  <si>
    <t>19/01/2025</t>
  </si>
  <si>
    <t>ORD10303</t>
  </si>
  <si>
    <t>06/01/2025</t>
  </si>
  <si>
    <t>ORD10304</t>
  </si>
  <si>
    <t>ORD10305</t>
  </si>
  <si>
    <t>ORD10306</t>
  </si>
  <si>
    <t>ORD10307</t>
  </si>
  <si>
    <t>ORD10308</t>
  </si>
  <si>
    <t>18/04/2025</t>
  </si>
  <si>
    <t>ORD10309</t>
  </si>
  <si>
    <t>ORD10310</t>
  </si>
  <si>
    <t>ORD10311</t>
  </si>
  <si>
    <t>28/04/2025</t>
  </si>
  <si>
    <t>ORD10312</t>
  </si>
  <si>
    <t>ORD10313</t>
  </si>
  <si>
    <t>ORD10314</t>
  </si>
  <si>
    <t>12/05/2025</t>
  </si>
  <si>
    <t>ORD10315</t>
  </si>
  <si>
    <t>ORD10316</t>
  </si>
  <si>
    <t>14/10/2025</t>
  </si>
  <si>
    <t>ORD10317</t>
  </si>
  <si>
    <t>23/06/2025</t>
  </si>
  <si>
    <t>ORD10318</t>
  </si>
  <si>
    <t>08/11/2025</t>
  </si>
  <si>
    <t>ORD10319</t>
  </si>
  <si>
    <t>ORD10320</t>
  </si>
  <si>
    <t>ORD10321</t>
  </si>
  <si>
    <t>26/04/2025</t>
  </si>
  <si>
    <t>ORD10322</t>
  </si>
  <si>
    <t>ORD10323</t>
  </si>
  <si>
    <t>ORD10324</t>
  </si>
  <si>
    <t>ORD10325</t>
  </si>
  <si>
    <t>16/04/2025</t>
  </si>
  <si>
    <t>ORD10326</t>
  </si>
  <si>
    <t>04/09/2025</t>
  </si>
  <si>
    <t>ORD10327</t>
  </si>
  <si>
    <t>ORD10328</t>
  </si>
  <si>
    <t>25/10/2025</t>
  </si>
  <si>
    <t>ORD10329</t>
  </si>
  <si>
    <t>ORD10330</t>
  </si>
  <si>
    <t>ORD10331</t>
  </si>
  <si>
    <t>ORD10332</t>
  </si>
  <si>
    <t>ORD10333</t>
  </si>
  <si>
    <t>11/12/2025</t>
  </si>
  <si>
    <t>ORD10334</t>
  </si>
  <si>
    <t>ORD10335</t>
  </si>
  <si>
    <t>ORD10336</t>
  </si>
  <si>
    <t>ORD10337</t>
  </si>
  <si>
    <t>ORD10338</t>
  </si>
  <si>
    <t>04/10/2025</t>
  </si>
  <si>
    <t>ORD10339</t>
  </si>
  <si>
    <t>ORD10340</t>
  </si>
  <si>
    <t>ORD10341</t>
  </si>
  <si>
    <t>22/07/2025</t>
  </si>
  <si>
    <t>ORD10342</t>
  </si>
  <si>
    <t>ORD10343</t>
  </si>
  <si>
    <t>ORD10344</t>
  </si>
  <si>
    <t>22/04/2025</t>
  </si>
  <si>
    <t>ORD10345</t>
  </si>
  <si>
    <t>ORD10346</t>
  </si>
  <si>
    <t>18/02/2025</t>
  </si>
  <si>
    <t>ORD10347</t>
  </si>
  <si>
    <t>ORD10348</t>
  </si>
  <si>
    <t>22/01/2025</t>
  </si>
  <si>
    <t>ORD10349</t>
  </si>
  <si>
    <t>26/12/2025</t>
  </si>
  <si>
    <t>ORD10350</t>
  </si>
  <si>
    <t>10/03/2025</t>
  </si>
  <si>
    <t>ORD10351</t>
  </si>
  <si>
    <t>ORD10352</t>
  </si>
  <si>
    <t>14/11/2025</t>
  </si>
  <si>
    <t>ORD10353</t>
  </si>
  <si>
    <t>26/02/2025</t>
  </si>
  <si>
    <t>ORD10354</t>
  </si>
  <si>
    <t>ORD10355</t>
  </si>
  <si>
    <t>ORD10356</t>
  </si>
  <si>
    <t>ORD10357</t>
  </si>
  <si>
    <t>ORD10358</t>
  </si>
  <si>
    <t>16/06/2025</t>
  </si>
  <si>
    <t>ORD10359</t>
  </si>
  <si>
    <t>ORD10360</t>
  </si>
  <si>
    <t>ORD10361</t>
  </si>
  <si>
    <t>ORD10362</t>
  </si>
  <si>
    <t>ORD10363</t>
  </si>
  <si>
    <t>01/12/2025</t>
  </si>
  <si>
    <t>ORD10364</t>
  </si>
  <si>
    <t>ORD10365</t>
  </si>
  <si>
    <t>24/07/2025</t>
  </si>
  <si>
    <t>ORD10366</t>
  </si>
  <si>
    <t>09/08/2025</t>
  </si>
  <si>
    <t>ORD10367</t>
  </si>
  <si>
    <t>ORD10368</t>
  </si>
  <si>
    <t>ORD10369</t>
  </si>
  <si>
    <t>ORD10370</t>
  </si>
  <si>
    <t>28/01/2025</t>
  </si>
  <si>
    <t>ORD10371</t>
  </si>
  <si>
    <t>ORD10372</t>
  </si>
  <si>
    <t>ORD10373</t>
  </si>
  <si>
    <t>ORD10374</t>
  </si>
  <si>
    <t>07/08/2025</t>
  </si>
  <si>
    <t>ORD10375</t>
  </si>
  <si>
    <t>ORD10376</t>
  </si>
  <si>
    <t>30/07/2025</t>
  </si>
  <si>
    <t>ORD10377</t>
  </si>
  <si>
    <t>ORD10378</t>
  </si>
  <si>
    <t>25/03/2025</t>
  </si>
  <si>
    <t>ORD10379</t>
  </si>
  <si>
    <t>ORD10380</t>
  </si>
  <si>
    <t>ORD10381</t>
  </si>
  <si>
    <t>ORD10382</t>
  </si>
  <si>
    <t>21/07/2025</t>
  </si>
  <si>
    <t>ORD10383</t>
  </si>
  <si>
    <t>ORD10384</t>
  </si>
  <si>
    <t>17/10/2025</t>
  </si>
  <si>
    <t>ORD10385</t>
  </si>
  <si>
    <t>ORD10386</t>
  </si>
  <si>
    <t>ORD10387</t>
  </si>
  <si>
    <t>ORD10388</t>
  </si>
  <si>
    <t>ORD10389</t>
  </si>
  <si>
    <t>27/09/2025</t>
  </si>
  <si>
    <t>ORD10390</t>
  </si>
  <si>
    <t>ORD10391</t>
  </si>
  <si>
    <t>ORD10392</t>
  </si>
  <si>
    <t>ORD10393</t>
  </si>
  <si>
    <t>19/06/2025</t>
  </si>
  <si>
    <t>ORD10394</t>
  </si>
  <si>
    <t>24/09/2025</t>
  </si>
  <si>
    <t>ORD10395</t>
  </si>
  <si>
    <t>12/07/2025</t>
  </si>
  <si>
    <t>ORD10396</t>
  </si>
  <si>
    <t>ORD10397</t>
  </si>
  <si>
    <t>05/09/2025</t>
  </si>
  <si>
    <t>ORD10398</t>
  </si>
  <si>
    <t>ORD10399</t>
  </si>
  <si>
    <t>24/11/2025</t>
  </si>
  <si>
    <t>ORD10400</t>
  </si>
  <si>
    <t>08/01/2025</t>
  </si>
  <si>
    <t>ORD10401</t>
  </si>
  <si>
    <t>ORD10402</t>
  </si>
  <si>
    <t>ORD10403</t>
  </si>
  <si>
    <t>08/06/2025</t>
  </si>
  <si>
    <t>ORD10404</t>
  </si>
  <si>
    <t>ORD10405</t>
  </si>
  <si>
    <t>ORD10406</t>
  </si>
  <si>
    <t>ORD10407</t>
  </si>
  <si>
    <t>ORD10408</t>
  </si>
  <si>
    <t>ORD10409</t>
  </si>
  <si>
    <t>ORD10410</t>
  </si>
  <si>
    <t>ORD10411</t>
  </si>
  <si>
    <t>13/03/2025</t>
  </si>
  <si>
    <t>ORD10412</t>
  </si>
  <si>
    <t>ORD10413</t>
  </si>
  <si>
    <t>ORD10414</t>
  </si>
  <si>
    <t>18/10/2025</t>
  </si>
  <si>
    <t>ORD10415</t>
  </si>
  <si>
    <t>ORD10416</t>
  </si>
  <si>
    <t>ORD10417</t>
  </si>
  <si>
    <t>24/10/2025</t>
  </si>
  <si>
    <t>ORD10418</t>
  </si>
  <si>
    <t>ORD10419</t>
  </si>
  <si>
    <t>03/04/2025</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</si>
  <si>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</si>
  <si>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</si>
  <si>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</si>
  <si>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</si>
  <si>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</si>
  <si>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</si>
  <si>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</si>
  <si>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</si>
  <si>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</si>
  <si>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</si>
  <si>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</si>
  <si>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</si>
  <si>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</si>
  <si>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</si>
  <si>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</si>
  <si>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</si>
  <si>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</si>
  <si>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</si>
  <si>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</si>
  <si>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</si>
  <si>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18/11/2025</t>
  </si>
  <si>
    <t>ORD10440</t>
  </si>
  <si>
    <t>ORD10441</t>
  </si>
  <si>
    <t>ORD10442</t>
  </si>
  <si>
    <t>ORD10443</t>
  </si>
  <si>
    <t>ORD10444</t>
  </si>
  <si>
    <t>20/11/2025</t>
  </si>
  <si>
    <t>ORD10445</t>
  </si>
  <si>
    <t>ORD10446</t>
  </si>
  <si>
    <t>ORD10447</t>
  </si>
  <si>
    <t>ORD10448</t>
  </si>
  <si>
    <t>ORD10449</t>
  </si>
  <si>
    <t>ORD10450</t>
  </si>
  <si>
    <t>19/05/2025</t>
  </si>
  <si>
    <t>ORD10451</t>
  </si>
  <si>
    <t>07/07/2025</t>
  </si>
  <si>
    <t>ORD10452</t>
  </si>
  <si>
    <t>ORD10453</t>
  </si>
  <si>
    <t>20/08/2025</t>
  </si>
  <si>
    <t>ORD10454</t>
  </si>
  <si>
    <t>ORD10455</t>
  </si>
  <si>
    <t>27/11/2025</t>
  </si>
  <si>
    <t>ORD10456</t>
  </si>
  <si>
    <t>ORD10457</t>
  </si>
  <si>
    <t>ORD10458</t>
  </si>
  <si>
    <t>ORD10459</t>
  </si>
  <si>
    <t>01/10/2025</t>
  </si>
  <si>
    <t>ORD10460</t>
  </si>
  <si>
    <t>ORD10461</t>
  </si>
  <si>
    <t>ORD10462</t>
  </si>
  <si>
    <t>ORD10463</t>
  </si>
  <si>
    <t>ORD10464</t>
  </si>
  <si>
    <t>ORD10465</t>
  </si>
  <si>
    <t>ORD10466</t>
  </si>
  <si>
    <t>ORD10467</t>
  </si>
  <si>
    <t>ORD10468</t>
  </si>
  <si>
    <t>ORD10469</t>
  </si>
  <si>
    <t>ORD10470</t>
  </si>
  <si>
    <t>ORD10471</t>
  </si>
  <si>
    <t>ORD10472</t>
  </si>
  <si>
    <t>ORD10473</t>
  </si>
  <si>
    <t>02/03/2025</t>
  </si>
  <si>
    <t>ORD10474</t>
  </si>
  <si>
    <t>ORD10475</t>
  </si>
  <si>
    <t>ORD10476</t>
  </si>
  <si>
    <t>16/09/2025</t>
  </si>
  <si>
    <t>ORD10477</t>
  </si>
  <si>
    <t>ORD10478</t>
  </si>
  <si>
    <t>ORD10479</t>
  </si>
  <si>
    <t>18/12/2025</t>
  </si>
  <si>
    <t>ORD10480</t>
  </si>
  <si>
    <t>ORD10481</t>
  </si>
  <si>
    <t>ORD10482</t>
  </si>
  <si>
    <t>17/03/2025</t>
  </si>
  <si>
    <t>ORD10483</t>
  </si>
  <si>
    <t>ORD10484</t>
  </si>
  <si>
    <t>ORD10485</t>
  </si>
  <si>
    <t>15/08/2025</t>
  </si>
  <si>
    <t>ORD10486</t>
  </si>
  <si>
    <t>07/09/2025</t>
  </si>
  <si>
    <t>ORD10487</t>
  </si>
  <si>
    <t>ORD10488</t>
  </si>
  <si>
    <t>08/08/2025</t>
  </si>
  <si>
    <t>ORD10489</t>
  </si>
  <si>
    <t>ORD10490</t>
  </si>
  <si>
    <t>ORD10491</t>
  </si>
  <si>
    <t>ORD10492</t>
  </si>
  <si>
    <t>ORD10493</t>
  </si>
  <si>
    <t>ORD10494</t>
  </si>
  <si>
    <t>ORD10495</t>
  </si>
  <si>
    <t>ORD10496</t>
  </si>
  <si>
    <t>ORD10497</t>
  </si>
  <si>
    <t>ORD10498</t>
  </si>
  <si>
    <t>ORD10499</t>
  </si>
  <si>
    <t>ORD10500</t>
  </si>
  <si>
    <t>29/07/2025</t>
  </si>
  <si>
    <t>Sum of Quantity</t>
  </si>
  <si>
    <t>Count of Order_ID</t>
  </si>
  <si>
    <t>Average of Rating</t>
  </si>
  <si>
    <t>Average of Delivery</t>
  </si>
  <si>
    <t>Values</t>
  </si>
  <si>
    <t>Total Sales</t>
  </si>
  <si>
    <t>Row Labels</t>
  </si>
  <si>
    <t>Grand Total</t>
  </si>
  <si>
    <t>Total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</si>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</sst>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quot;M&quot;"/>
    <numFmt numFmtId="165" formatCode="0.0,&quot;K&quot;"/>
    <numFmt numFmtId="166" formatCode="_(&quot;$&quot;* #,##0.0_);_(&quot;$&quot;* \(#,##0.0\);_(&quot;$&quot;* &quot;-&quot;??_);_(@_)"/>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5" fontId="0" fillId="0" borderId="0" xfId="0" applyNumberFormat="1"/>
    <xf numFmtId="166" fontId="0" fillId="0" borderId="0" xfId="1" applyNumberFormat="1" applyFont="1"/>
    <xf numFmtId="0" fontId="0" fillId="2" borderId="0" xfId="0" applyFill="1"/>
    <xf numFmtId="166" fontId="0" fillId="2" borderId="0" xfId="0" applyNumberFormat="1" applyFill="1"/>
    <xf numFmtId="0" fontId="0" fillId="2" borderId="1" xfId="0" applyFill="1" applyBorder="1"/>
    <xf numFmtId="0" fontId="0" fillId="0" borderId="1" xfId="0" applyBorder="1"/>
    <xf numFmtId="164" fontId="0" fillId="0" borderId="1" xfId="0" applyNumberFormat="1" applyBorder="1"/>
    <xf numFmtId="9" fontId="0" fillId="0" borderId="1" xfId="2" applyFont="1" applyBorder="1"/>
    <xf numFmtId="164" fontId="0" fillId="2" borderId="1" xfId="0" applyNumberFormat="1" applyFill="1" applyBorder="1"/>
    <xf numFmtId="9" fontId="0" fillId="2" borderId="1" xfId="0" applyNumberFormat="1" applyFill="1" applyBorder="1"/>
  </cellXfs>
  <cellStyles count="3">
    <cellStyle name="Currency" xfId="1" builtinId="4"/>
    <cellStyle name="Normal" xfId="0" builtinId="0"/>
    <cellStyle name="Per cent" xfId="2" builtinId="5"/>
  </cellStyles>
  <dxfs count="10">
    <dxf>
      <numFmt numFmtId="164" formatCode="0.0,,&quot;M&quot;"/>
    </dxf>
    <dxf>
      <numFmt numFmtId="164" formatCode="0.0,,&quot;M&quot;"/>
    </dxf>
    <dxf>
      <numFmt numFmtId="164" formatCode="0.0,,&quot;M&quot;"/>
    </dxf>
    <dxf>
      <numFmt numFmtId="165" formatCode="0.0,&quot;K&quot;"/>
    </dxf>
    <dxf>
      <numFmt numFmtId="2" formatCode="0.00"/>
    </dxf>
    <dxf>
      <numFmt numFmtId="164" formatCode="0.0,,&quot;M&quot;"/>
    </dxf>
    <dxf>
      <numFmt numFmtId="2" formatCode="0.00"/>
    </dxf>
    <dxf>
      <numFmt numFmtId="164" formatCode="0.0,,&quot;M&quot;"/>
    </dxf>
    <dxf>
      <numFmt numFmtId="164" formatCode="0.0,,&quot;M&quot;"/>
    </dxf>
    <dxf>
      <numFmt numFmtId="164" formatCode="0.0,,&quot;M&quot;"/>
    </dxf>
  </dxfs>
  <tableStyles count="0" defaultTableStyle="TableStyleMedium2" defaultPivotStyle="PivotStyleLight16"/>
  <colors>
    <mruColors>
      <color rgb="FFFFB51B"/>
      <color rgb="FFFF7A00"/>
      <color rgb="FFF4510B"/>
      <color rgb="FF7B2DD4"/>
      <color rgb="FF55159F"/>
      <color rgb="FF8BCB25"/>
      <color rgb="FF5B8F12"/>
      <color rgb="FFFF9A18"/>
      <color rgb="FF121594"/>
      <color rgb="FF00A6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excel projectt1.xlsx]Pivot tables!PivotTable2</c:name>
    <c:fmtId val="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0">
                <a:srgbClr val="0000FF"/>
              </a:gs>
              <a:gs pos="51000">
                <a:srgbClr val="4C9BFA"/>
              </a:gs>
              <a:gs pos="100000">
                <a:srgbClr val="FFFF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tables'!$E$3</c:f>
              <c:strCache>
                <c:ptCount val="1"/>
                <c:pt idx="0">
                  <c:v>Total</c:v>
                </c:pt>
              </c:strCache>
            </c:strRef>
          </c:tx>
          <c:spPr>
            <a:gradFill>
              <a:gsLst>
                <a:gs pos="0">
                  <a:srgbClr val="0000FF"/>
                </a:gs>
                <a:gs pos="51000">
                  <a:srgbClr val="4C9BFA"/>
                </a:gs>
                <a:gs pos="100000">
                  <a:srgbClr val="FFFFFF"/>
                </a:gs>
              </a:gsLst>
              <a:lin ang="5400000" scaled="1"/>
            </a:gra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tables'!$E$4:$E$16</c:f>
              <c:numCache>
                <c:formatCode>0.0,,"M"</c:formatCode>
                <c:ptCount val="12"/>
                <c:pt idx="0">
                  <c:v>1480730</c:v>
                </c:pt>
                <c:pt idx="1">
                  <c:v>1991453</c:v>
                </c:pt>
                <c:pt idx="2">
                  <c:v>2439516</c:v>
                </c:pt>
                <c:pt idx="3">
                  <c:v>1723736</c:v>
                </c:pt>
                <c:pt idx="4">
                  <c:v>2226405</c:v>
                </c:pt>
                <c:pt idx="5">
                  <c:v>1483670</c:v>
                </c:pt>
                <c:pt idx="6">
                  <c:v>2566476</c:v>
                </c:pt>
                <c:pt idx="7">
                  <c:v>1323566</c:v>
                </c:pt>
                <c:pt idx="8">
                  <c:v>1648464</c:v>
                </c:pt>
                <c:pt idx="9">
                  <c:v>1876219</c:v>
                </c:pt>
                <c:pt idx="10">
                  <c:v>948995</c:v>
                </c:pt>
                <c:pt idx="11">
                  <c:v>3297187</c:v>
                </c:pt>
              </c:numCache>
            </c:numRef>
          </c:val>
          <c:extLst>
            <c:ext xmlns:c16="http://schemas.microsoft.com/office/drawing/2014/chart" uri="{C3380CC4-5D6E-409C-BE32-E72D297353CC}">
              <c16:uniqueId val="{00000000-C6DC-49F6-B804-BBCA9759498F}"/>
            </c:ext>
          </c:extLst>
        </c:ser>
        <c:dLbls>
          <c:showLegendKey val="0"/>
          <c:showVal val="1"/>
          <c:showCatName val="0"/>
          <c:showSerName val="0"/>
          <c:showPercent val="0"/>
          <c:showBubbleSize val="0"/>
        </c:dLbls>
        <c:axId val="1872143807"/>
        <c:axId val="310555408"/>
      </c:areaChart>
      <c:catAx>
        <c:axId val="1872143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555408"/>
        <c:crosses val="autoZero"/>
        <c:auto val="1"/>
        <c:lblAlgn val="ctr"/>
        <c:lblOffset val="100"/>
        <c:noMultiLvlLbl val="0"/>
      </c:catAx>
      <c:valAx>
        <c:axId val="310555408"/>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1438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excel projectt1.xlsx]Pivot tables!PivotTable3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A63C"/>
              </a:gs>
              <a:gs pos="51000">
                <a:srgbClr val="19B84A"/>
              </a:gs>
              <a:gs pos="100000">
                <a:srgbClr val="69D92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85032276370859"/>
          <c:y val="9.166666666666666E-2"/>
          <c:w val="0.68308989017650434"/>
          <c:h val="0.71568110236220472"/>
        </c:manualLayout>
      </c:layout>
      <c:barChart>
        <c:barDir val="bar"/>
        <c:grouping val="clustered"/>
        <c:varyColors val="0"/>
        <c:ser>
          <c:idx val="0"/>
          <c:order val="0"/>
          <c:tx>
            <c:strRef>
              <c:f>'Pivot tables'!$H$3</c:f>
              <c:strCache>
                <c:ptCount val="1"/>
                <c:pt idx="0">
                  <c:v>Total</c:v>
                </c:pt>
              </c:strCache>
            </c:strRef>
          </c:tx>
          <c:spPr>
            <a:gradFill>
              <a:gsLst>
                <a:gs pos="0">
                  <a:srgbClr val="00A63C"/>
                </a:gs>
                <a:gs pos="51000">
                  <a:srgbClr val="19B84A"/>
                </a:gs>
                <a:gs pos="100000">
                  <a:srgbClr val="69D92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tables'!$G$4:$G$9</c:f>
              <c:strCache>
                <c:ptCount val="5"/>
                <c:pt idx="0">
                  <c:v>Beauty</c:v>
                </c:pt>
                <c:pt idx="1">
                  <c:v>Books</c:v>
                </c:pt>
                <c:pt idx="2">
                  <c:v>Fashion</c:v>
                </c:pt>
                <c:pt idx="3">
                  <c:v>Home</c:v>
                </c:pt>
                <c:pt idx="4">
                  <c:v>Electronics</c:v>
                </c:pt>
              </c:strCache>
            </c:strRef>
          </c:cat>
          <c:val>
            <c:numRef>
              <c:f>'Pivot tables'!$H$4:$H$9</c:f>
              <c:numCache>
                <c:formatCode>0.0,,"M"</c:formatCode>
                <c:ptCount val="5"/>
                <c:pt idx="0">
                  <c:v>490618</c:v>
                </c:pt>
                <c:pt idx="1">
                  <c:v>570604</c:v>
                </c:pt>
                <c:pt idx="2">
                  <c:v>1790583</c:v>
                </c:pt>
                <c:pt idx="3">
                  <c:v>2691079</c:v>
                </c:pt>
                <c:pt idx="4">
                  <c:v>17463533</c:v>
                </c:pt>
              </c:numCache>
            </c:numRef>
          </c:val>
          <c:extLst>
            <c:ext xmlns:c16="http://schemas.microsoft.com/office/drawing/2014/chart" uri="{C3380CC4-5D6E-409C-BE32-E72D297353CC}">
              <c16:uniqueId val="{00000000-A383-461E-82DA-3E866A768C4C}"/>
            </c:ext>
          </c:extLst>
        </c:ser>
        <c:dLbls>
          <c:dLblPos val="outEnd"/>
          <c:showLegendKey val="0"/>
          <c:showVal val="1"/>
          <c:showCatName val="0"/>
          <c:showSerName val="0"/>
          <c:showPercent val="0"/>
          <c:showBubbleSize val="0"/>
        </c:dLbls>
        <c:gapWidth val="30"/>
        <c:overlap val="100"/>
        <c:axId val="310365536"/>
        <c:axId val="310475728"/>
      </c:barChart>
      <c:catAx>
        <c:axId val="31036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75728"/>
        <c:crosses val="autoZero"/>
        <c:auto val="1"/>
        <c:lblAlgn val="ctr"/>
        <c:lblOffset val="100"/>
        <c:noMultiLvlLbl val="0"/>
      </c:catAx>
      <c:valAx>
        <c:axId val="310475728"/>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6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'Pivot tables'!$AF$3</c:f>
              <c:strCache>
                <c:ptCount val="1"/>
                <c:pt idx="0">
                  <c:v>State</c:v>
                </c:pt>
              </c:strCache>
            </c:strRef>
          </c:tx>
          <c:spPr>
            <a:no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tables'!$AE$4:$AE$9</c:f>
              <c:strCache>
                <c:ptCount val="6"/>
                <c:pt idx="0">
                  <c:v>Delhi</c:v>
                </c:pt>
                <c:pt idx="1">
                  <c:v>Gujrat</c:v>
                </c:pt>
                <c:pt idx="2">
                  <c:v>Karnataka</c:v>
                </c:pt>
                <c:pt idx="3">
                  <c:v>Maharashtra</c:v>
                </c:pt>
                <c:pt idx="4">
                  <c:v>Tamil Nadu</c:v>
                </c:pt>
                <c:pt idx="5">
                  <c:v>Telangana</c:v>
                </c:pt>
              </c:strCache>
            </c:strRef>
          </c:cat>
          <c:val>
            <c:numRef>
              <c:f>'Pivot tables'!$AF$4:$AF$9</c:f>
              <c:numCache>
                <c:formatCode>0.0,,"M"</c:formatCode>
                <c:ptCount val="6"/>
                <c:pt idx="0">
                  <c:v>3353882</c:v>
                </c:pt>
                <c:pt idx="1">
                  <c:v>4389497</c:v>
                </c:pt>
                <c:pt idx="2">
                  <c:v>5312858</c:v>
                </c:pt>
                <c:pt idx="3">
                  <c:v>3463152</c:v>
                </c:pt>
                <c:pt idx="4">
                  <c:v>3050638</c:v>
                </c:pt>
                <c:pt idx="5">
                  <c:v>3436390</c:v>
                </c:pt>
              </c:numCache>
            </c:numRef>
          </c:val>
          <c:extLst>
            <c:ext xmlns:c16="http://schemas.microsoft.com/office/drawing/2014/chart" uri="{C3380CC4-5D6E-409C-BE32-E72D297353CC}">
              <c16:uniqueId val="{00000000-046C-4F34-8113-ED0EC5025D64}"/>
            </c:ext>
          </c:extLst>
        </c:ser>
        <c:ser>
          <c:idx val="1"/>
          <c:order val="1"/>
          <c:tx>
            <c:strRef>
              <c:f>'Pivot tables'!$AG$3</c:f>
              <c:strCache>
                <c:ptCount val="1"/>
                <c:pt idx="0">
                  <c:v>%</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tables'!$AE$4:$AE$9</c:f>
              <c:strCache>
                <c:ptCount val="6"/>
                <c:pt idx="0">
                  <c:v>Delhi</c:v>
                </c:pt>
                <c:pt idx="1">
                  <c:v>Gujrat</c:v>
                </c:pt>
                <c:pt idx="2">
                  <c:v>Karnataka</c:v>
                </c:pt>
                <c:pt idx="3">
                  <c:v>Maharashtra</c:v>
                </c:pt>
                <c:pt idx="4">
                  <c:v>Tamil Nadu</c:v>
                </c:pt>
                <c:pt idx="5">
                  <c:v>Telangana</c:v>
                </c:pt>
              </c:strCache>
            </c:strRef>
          </c:cat>
          <c:val>
            <c:numRef>
              <c:f>'Pivot tables'!$AG$4:$AG$9</c:f>
              <c:numCache>
                <c:formatCode>0%</c:formatCode>
                <c:ptCount val="6"/>
                <c:pt idx="0">
                  <c:v>0.14578028382255265</c:v>
                </c:pt>
                <c:pt idx="1">
                  <c:v>0.19079446399671882</c:v>
                </c:pt>
                <c:pt idx="2">
                  <c:v>0.23092939678525343</c:v>
                </c:pt>
                <c:pt idx="3">
                  <c:v>0.15052982826487063</c:v>
                </c:pt>
                <c:pt idx="4">
                  <c:v>0.13259943953897732</c:v>
                </c:pt>
                <c:pt idx="5">
                  <c:v>0.14936658759162716</c:v>
                </c:pt>
              </c:numCache>
            </c:numRef>
          </c:val>
          <c:extLst>
            <c:ext xmlns:c16="http://schemas.microsoft.com/office/drawing/2014/chart" uri="{C3380CC4-5D6E-409C-BE32-E72D297353CC}">
              <c16:uniqueId val="{00000001-046C-4F34-8113-ED0EC5025D64}"/>
            </c:ext>
          </c:extLst>
        </c:ser>
        <c:dLbls>
          <c:dLblPos val="ctr"/>
          <c:showLegendKey val="0"/>
          <c:showVal val="1"/>
          <c:showCatName val="0"/>
          <c:showSerName val="0"/>
          <c:showPercent val="0"/>
          <c:showBubbleSize val="0"/>
        </c:dLbls>
        <c:gapWidth val="182"/>
        <c:overlap val="100"/>
        <c:axId val="310367392"/>
        <c:axId val="67207504"/>
      </c:barChart>
      <c:catAx>
        <c:axId val="310367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207504"/>
        <c:crosses val="autoZero"/>
        <c:auto val="1"/>
        <c:lblAlgn val="ctr"/>
        <c:lblOffset val="100"/>
        <c:noMultiLvlLbl val="0"/>
      </c:catAx>
      <c:valAx>
        <c:axId val="67207504"/>
        <c:scaling>
          <c:orientation val="minMax"/>
        </c:scaling>
        <c:delete val="1"/>
        <c:axPos val="b"/>
        <c:numFmt formatCode="0%" sourceLinked="1"/>
        <c:majorTickMark val="none"/>
        <c:minorTickMark val="none"/>
        <c:tickLblPos val="nextTo"/>
        <c:crossAx val="31036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excel projectt1.xlsx]Pivot tables!PivotTable4</c:name>
    <c:fmtId val="6"/>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gradFill>
            <a:gsLst>
              <a:gs pos="0">
                <a:srgbClr val="00A63C"/>
              </a:gs>
              <a:gs pos="51000">
                <a:srgbClr val="19B84A"/>
              </a:gs>
              <a:gs pos="100000">
                <a:srgbClr val="69D92F"/>
              </a:gs>
            </a:gsLst>
            <a:lin ang="5400000" scaled="1"/>
          </a:gradFill>
          <a:ln w="19050">
            <a:solidFill>
              <a:schemeClr val="lt1"/>
            </a:solidFill>
          </a:ln>
          <a:effectLst>
            <a:outerShdw blurRad="50800" dist="38100" dir="5400000" algn="ctr" rotWithShape="0">
              <a:srgbClr val="000000">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gradFill>
            <a:gsLst>
              <a:gs pos="0">
                <a:srgbClr val="121594"/>
              </a:gs>
              <a:gs pos="52000">
                <a:srgbClr val="24A5FF"/>
              </a:gs>
            </a:gsLst>
            <a:lin ang="5400000" scaled="1"/>
          </a:gradFill>
          <a:ln w="19050">
            <a:solidFill>
              <a:schemeClr val="lt1"/>
            </a:solidFill>
          </a:ln>
          <a:effectLst>
            <a:outerShdw blurRad="50800" dist="38100" dir="5400000" algn="ctr" rotWithShape="0">
              <a:srgbClr val="000000">
                <a:alpha val="40000"/>
              </a:srgbClr>
            </a:outerShdw>
          </a:effectLst>
        </c:spPr>
        <c:dLbl>
          <c:idx val="0"/>
          <c:layout>
            <c:manualLayout>
              <c:x val="6.6666666666666666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gradFill>
            <a:gsLst>
              <a:gs pos="0">
                <a:srgbClr val="F4510B"/>
              </a:gs>
              <a:gs pos="100000">
                <a:srgbClr val="FF9A18"/>
              </a:gs>
            </a:gsLst>
            <a:lin ang="5400000" scaled="1"/>
          </a:gradFill>
          <a:ln w="19050">
            <a:solidFill>
              <a:schemeClr val="lt1"/>
            </a:solidFill>
          </a:ln>
          <a:effectLst>
            <a:outerShdw blurRad="50800" dist="38100" dir="5400000" algn="ctr" rotWithShape="0">
              <a:srgbClr val="000000">
                <a:alpha val="40000"/>
              </a:srgbClr>
            </a:outerShdw>
          </a:effectLst>
        </c:spPr>
        <c:dLbl>
          <c:idx val="0"/>
          <c:layout>
            <c:manualLayout>
              <c:x val="5.2777777777777778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gradFill>
            <a:gsLst>
              <a:gs pos="0">
                <a:srgbClr val="5B8F12"/>
              </a:gs>
              <a:gs pos="100000">
                <a:srgbClr val="8BCB25"/>
              </a:gs>
            </a:gsLst>
            <a:lin ang="5400000" scaled="1"/>
          </a:gradFill>
          <a:ln w="19050">
            <a:solidFill>
              <a:schemeClr val="lt1"/>
            </a:solidFill>
          </a:ln>
          <a:effectLst>
            <a:outerShdw blurRad="50800" dist="38100" dir="5400000" algn="ctr" rotWithShape="0">
              <a:srgbClr val="000000">
                <a:alpha val="40000"/>
              </a:srgbClr>
            </a:outerShdw>
          </a:effectLst>
        </c:spPr>
        <c:dLbl>
          <c:idx val="0"/>
          <c:layout>
            <c:manualLayout>
              <c:x val="-0.14972155926809866"/>
              <c:y val="3.69391857932652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2622134941962804"/>
                  <c:h val="0.17884067683028984"/>
                </c:manualLayout>
              </c15:layout>
            </c:ext>
          </c:extLst>
        </c:dLbl>
      </c:pivotFmt>
      <c:pivotFmt>
        <c:idx val="10"/>
        <c:spPr>
          <a:gradFill>
            <a:gsLst>
              <a:gs pos="0">
                <a:srgbClr val="55159F"/>
              </a:gs>
              <a:gs pos="100000">
                <a:srgbClr val="7B2DD4"/>
              </a:gs>
            </a:gsLst>
            <a:lin ang="5400000" scaled="1"/>
          </a:gradFill>
          <a:ln w="19050">
            <a:solidFill>
              <a:schemeClr val="lt1"/>
            </a:solidFill>
          </a:ln>
          <a:effectLst>
            <a:outerShdw blurRad="50800" dist="38100" dir="5400000" algn="ctr" rotWithShape="0">
              <a:srgbClr val="000000">
                <a:alpha val="40000"/>
              </a:srgbClr>
            </a:outerShdw>
          </a:effectLst>
        </c:spPr>
        <c:dLbl>
          <c:idx val="0"/>
          <c:layout>
            <c:manualLayout>
              <c:x val="-9.7222222222222224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gradFill>
            <a:gsLst>
              <a:gs pos="0">
                <a:srgbClr val="00A63C"/>
              </a:gs>
              <a:gs pos="51000">
                <a:srgbClr val="19B84A"/>
              </a:gs>
              <a:gs pos="100000">
                <a:srgbClr val="69D92F"/>
              </a:gs>
            </a:gsLst>
            <a:lin ang="5400000" scaled="1"/>
          </a:gradFill>
          <a:ln w="19050">
            <a:solidFill>
              <a:schemeClr val="lt1"/>
            </a:solidFill>
          </a:ln>
          <a:effectLst>
            <a:outerShdw blurRad="50800" dist="38100" dir="5400000" algn="ctr" rotWithShape="0">
              <a:srgbClr val="000000">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2"/>
        <c:spPr>
          <a:gradFill>
            <a:gsLst>
              <a:gs pos="0">
                <a:srgbClr val="121594"/>
              </a:gs>
              <a:gs pos="52000">
                <a:srgbClr val="24A5FF"/>
              </a:gs>
            </a:gsLst>
            <a:lin ang="5400000" scaled="1"/>
          </a:gradFill>
          <a:ln w="19050">
            <a:solidFill>
              <a:schemeClr val="lt1"/>
            </a:solidFill>
          </a:ln>
          <a:effectLst>
            <a:outerShdw blurRad="50800" dist="38100" dir="5400000" algn="ctr" rotWithShape="0">
              <a:srgbClr val="000000">
                <a:alpha val="40000"/>
              </a:srgbClr>
            </a:outerShdw>
          </a:effectLst>
        </c:spPr>
        <c:dLbl>
          <c:idx val="0"/>
          <c:layout>
            <c:manualLayout>
              <c:x val="6.6666666666666666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3"/>
        <c:spPr>
          <a:gradFill>
            <a:gsLst>
              <a:gs pos="0">
                <a:srgbClr val="F4510B"/>
              </a:gs>
              <a:gs pos="100000">
                <a:srgbClr val="FF9A18"/>
              </a:gs>
            </a:gsLst>
            <a:lin ang="5400000" scaled="1"/>
          </a:gradFill>
          <a:ln w="19050">
            <a:solidFill>
              <a:schemeClr val="lt1"/>
            </a:solidFill>
          </a:ln>
          <a:effectLst>
            <a:outerShdw blurRad="50800" dist="38100" dir="5400000" algn="ctr" rotWithShape="0">
              <a:srgbClr val="000000">
                <a:alpha val="40000"/>
              </a:srgbClr>
            </a:outerShdw>
          </a:effectLst>
        </c:spPr>
        <c:dLbl>
          <c:idx val="0"/>
          <c:layout>
            <c:manualLayout>
              <c:x val="5.2777777777777778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4"/>
        <c:spPr>
          <a:gradFill>
            <a:gsLst>
              <a:gs pos="0">
                <a:srgbClr val="5B8F12"/>
              </a:gs>
              <a:gs pos="100000">
                <a:srgbClr val="8BCB25"/>
              </a:gs>
            </a:gsLst>
            <a:lin ang="5400000" scaled="1"/>
          </a:gradFill>
          <a:ln w="19050">
            <a:solidFill>
              <a:schemeClr val="lt1"/>
            </a:solidFill>
          </a:ln>
          <a:effectLst>
            <a:outerShdw blurRad="50800" dist="38100" dir="5400000" algn="ctr" rotWithShape="0">
              <a:srgbClr val="000000">
                <a:alpha val="40000"/>
              </a:srgbClr>
            </a:outerShdw>
          </a:effectLst>
        </c:spPr>
        <c:dLbl>
          <c:idx val="0"/>
          <c:layout>
            <c:manualLayout>
              <c:x val="-0.14972155926809866"/>
              <c:y val="3.69391857932652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2622134941962804"/>
                  <c:h val="0.17884067683028984"/>
                </c:manualLayout>
              </c15:layout>
            </c:ext>
          </c:extLst>
        </c:dLbl>
      </c:pivotFmt>
      <c:pivotFmt>
        <c:idx val="15"/>
        <c:spPr>
          <a:gradFill>
            <a:gsLst>
              <a:gs pos="0">
                <a:srgbClr val="55159F"/>
              </a:gs>
              <a:gs pos="100000">
                <a:srgbClr val="7B2DD4"/>
              </a:gs>
            </a:gsLst>
            <a:lin ang="5400000" scaled="1"/>
          </a:gradFill>
          <a:ln w="19050">
            <a:solidFill>
              <a:schemeClr val="lt1"/>
            </a:solidFill>
          </a:ln>
          <a:effectLst>
            <a:outerShdw blurRad="50800" dist="38100" dir="5400000" algn="ctr" rotWithShape="0">
              <a:srgbClr val="000000">
                <a:alpha val="40000"/>
              </a:srgbClr>
            </a:outerShdw>
          </a:effectLst>
        </c:spPr>
        <c:dLbl>
          <c:idx val="0"/>
          <c:layout>
            <c:manualLayout>
              <c:x val="-9.7222222222222224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6"/>
        <c:spPr>
          <a:gradFill>
            <a:gsLst>
              <a:gs pos="0">
                <a:srgbClr val="00A63C"/>
              </a:gs>
              <a:gs pos="51000">
                <a:srgbClr val="19B84A"/>
              </a:gs>
              <a:gs pos="100000">
                <a:srgbClr val="69D92F"/>
              </a:gs>
            </a:gsLst>
            <a:lin ang="5400000" scaled="1"/>
          </a:gradFill>
          <a:effectLst>
            <a:outerShdw blurRad="50800" dist="38100" dir="5400000" algn="ctr" rotWithShape="0">
              <a:srgbClr val="000000">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7"/>
        <c:spPr>
          <a:gradFill>
            <a:gsLst>
              <a:gs pos="0">
                <a:srgbClr val="121594"/>
              </a:gs>
              <a:gs pos="52000">
                <a:srgbClr val="24A5FF"/>
              </a:gs>
            </a:gsLst>
            <a:lin ang="5400000" scaled="1"/>
          </a:gradFill>
          <a:ln w="19050">
            <a:solidFill>
              <a:schemeClr val="lt1"/>
            </a:solidFill>
          </a:ln>
          <a:effectLst>
            <a:outerShdw blurRad="50800" dist="38100" dir="5400000" algn="ctr" rotWithShape="0">
              <a:srgbClr val="000000">
                <a:alpha val="40000"/>
              </a:srgbClr>
            </a:outerShdw>
          </a:effectLst>
        </c:spPr>
        <c:dLbl>
          <c:idx val="0"/>
          <c:layout>
            <c:manualLayout>
              <c:x val="6.6666666666666666E-2"/>
              <c:y val="-0.1296296296296296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8"/>
        <c:spPr>
          <a:gradFill>
            <a:gsLst>
              <a:gs pos="0">
                <a:srgbClr val="F4510B"/>
              </a:gs>
              <a:gs pos="100000">
                <a:srgbClr val="FF9A18"/>
              </a:gs>
            </a:gsLst>
            <a:lin ang="5400000" scaled="1"/>
          </a:gradFill>
          <a:ln w="19050">
            <a:solidFill>
              <a:schemeClr val="lt1"/>
            </a:solidFill>
          </a:ln>
          <a:effectLst>
            <a:outerShdw blurRad="50800" dist="38100" dir="5400000" algn="ctr" rotWithShape="0">
              <a:srgbClr val="000000">
                <a:alpha val="40000"/>
              </a:srgbClr>
            </a:outerShdw>
          </a:effectLst>
        </c:spPr>
        <c:dLbl>
          <c:idx val="0"/>
          <c:layout>
            <c:manualLayout>
              <c:x val="8.5723463346151496E-2"/>
              <c:y val="0.150702552267173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11999999999999998"/>
                  <c:h val="0.25122126436781611"/>
                </c:manualLayout>
              </c15:layout>
            </c:ext>
          </c:extLst>
        </c:dLbl>
      </c:pivotFmt>
      <c:pivotFmt>
        <c:idx val="19"/>
        <c:spPr>
          <a:gradFill>
            <a:gsLst>
              <a:gs pos="0">
                <a:srgbClr val="5B8F12"/>
              </a:gs>
              <a:gs pos="100000">
                <a:srgbClr val="8BCB25"/>
              </a:gs>
            </a:gsLst>
            <a:lin ang="5400000" scaled="1"/>
          </a:gradFill>
          <a:ln w="19050">
            <a:solidFill>
              <a:schemeClr val="lt1"/>
            </a:solidFill>
          </a:ln>
          <a:effectLst>
            <a:outerShdw blurRad="50800" dist="38100" dir="5400000" algn="ctr" rotWithShape="0">
              <a:srgbClr val="000000">
                <a:alpha val="40000"/>
              </a:srgbClr>
            </a:outerShdw>
          </a:effectLst>
        </c:spPr>
        <c:dLbl>
          <c:idx val="0"/>
          <c:layout>
            <c:manualLayout>
              <c:x val="-0.16134939777640744"/>
              <c:y val="-2.412398806669711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262213880241714"/>
                  <c:h val="0.22912820164720785"/>
                </c:manualLayout>
              </c15:layout>
            </c:ext>
          </c:extLst>
        </c:dLbl>
      </c:pivotFmt>
      <c:pivotFmt>
        <c:idx val="20"/>
        <c:spPr>
          <a:gradFill>
            <a:gsLst>
              <a:gs pos="0">
                <a:srgbClr val="55159F"/>
              </a:gs>
              <a:gs pos="100000">
                <a:srgbClr val="7B2DD4"/>
              </a:gs>
            </a:gsLst>
            <a:lin ang="5400000" scaled="1"/>
          </a:gradFill>
          <a:ln w="19050">
            <a:solidFill>
              <a:schemeClr val="lt1"/>
            </a:solidFill>
          </a:ln>
          <a:effectLst>
            <a:outerShdw blurRad="50800" dist="38100" dir="5400000" algn="ctr" rotWithShape="0">
              <a:srgbClr val="000000">
                <a:alpha val="40000"/>
              </a:srgbClr>
            </a:outerShdw>
          </a:effectLst>
        </c:spPr>
        <c:dLbl>
          <c:idx val="0"/>
          <c:layout>
            <c:manualLayout>
              <c:x val="-9.7222222222222224E-2"/>
              <c:y val="-9.25925925925925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8845505757563438"/>
          <c:y val="0"/>
          <c:w val="0.44291451520367181"/>
          <c:h val="0.99356499356499361"/>
        </c:manualLayout>
      </c:layout>
      <c:doughnutChart>
        <c:varyColors val="1"/>
        <c:ser>
          <c:idx val="0"/>
          <c:order val="0"/>
          <c:tx>
            <c:strRef>
              <c:f>'Pivot tables'!$K$3</c:f>
              <c:strCache>
                <c:ptCount val="1"/>
                <c:pt idx="0">
                  <c:v>Total</c:v>
                </c:pt>
              </c:strCache>
            </c:strRef>
          </c:tx>
          <c:spPr>
            <a:gradFill>
              <a:gsLst>
                <a:gs pos="0">
                  <a:srgbClr val="00A63C"/>
                </a:gs>
                <a:gs pos="51000">
                  <a:srgbClr val="19B84A"/>
                </a:gs>
                <a:gs pos="100000">
                  <a:srgbClr val="69D92F"/>
                </a:gs>
              </a:gsLst>
              <a:lin ang="5400000" scaled="1"/>
            </a:gradFill>
            <a:effectLst>
              <a:outerShdw blurRad="50800" dist="38100" dir="5400000" algn="ctr" rotWithShape="0">
                <a:srgbClr val="000000">
                  <a:alpha val="40000"/>
                </a:srgbClr>
              </a:outerShdw>
            </a:effectLst>
          </c:spPr>
          <c:dPt>
            <c:idx val="0"/>
            <c:bubble3D val="0"/>
            <c:spPr>
              <a:gradFill>
                <a:gsLst>
                  <a:gs pos="0">
                    <a:srgbClr val="121594"/>
                  </a:gs>
                  <a:gs pos="52000">
                    <a:srgbClr val="24A5FF"/>
                  </a:gs>
                </a:gsLst>
                <a:lin ang="5400000" scaled="1"/>
              </a:gradFill>
              <a:ln w="19050">
                <a:solidFill>
                  <a:schemeClr val="lt1"/>
                </a:solidFill>
              </a:ln>
              <a:effectLst>
                <a:outerShdw blurRad="50800" dist="38100" dir="5400000" algn="ctr" rotWithShape="0">
                  <a:srgbClr val="000000">
                    <a:alpha val="40000"/>
                  </a:srgbClr>
                </a:outerShdw>
              </a:effectLst>
            </c:spPr>
            <c:extLst>
              <c:ext xmlns:c16="http://schemas.microsoft.com/office/drawing/2014/chart" uri="{C3380CC4-5D6E-409C-BE32-E72D297353CC}">
                <c16:uniqueId val="{00000001-3296-4729-8830-AF956772E2E9}"/>
              </c:ext>
            </c:extLst>
          </c:dPt>
          <c:dPt>
            <c:idx val="1"/>
            <c:bubble3D val="0"/>
            <c:spPr>
              <a:gradFill>
                <a:gsLst>
                  <a:gs pos="0">
                    <a:srgbClr val="F4510B"/>
                  </a:gs>
                  <a:gs pos="100000">
                    <a:srgbClr val="FF9A18"/>
                  </a:gs>
                </a:gsLst>
                <a:lin ang="5400000" scaled="1"/>
              </a:gradFill>
              <a:ln w="19050">
                <a:solidFill>
                  <a:schemeClr val="lt1"/>
                </a:solidFill>
              </a:ln>
              <a:effectLst>
                <a:outerShdw blurRad="50800" dist="38100" dir="5400000" algn="ctr" rotWithShape="0">
                  <a:srgbClr val="000000">
                    <a:alpha val="40000"/>
                  </a:srgbClr>
                </a:outerShdw>
              </a:effectLst>
            </c:spPr>
            <c:extLst>
              <c:ext xmlns:c16="http://schemas.microsoft.com/office/drawing/2014/chart" uri="{C3380CC4-5D6E-409C-BE32-E72D297353CC}">
                <c16:uniqueId val="{00000003-3296-4729-8830-AF956772E2E9}"/>
              </c:ext>
            </c:extLst>
          </c:dPt>
          <c:dPt>
            <c:idx val="2"/>
            <c:bubble3D val="0"/>
            <c:spPr>
              <a:gradFill>
                <a:gsLst>
                  <a:gs pos="0">
                    <a:srgbClr val="5B8F12"/>
                  </a:gs>
                  <a:gs pos="100000">
                    <a:srgbClr val="8BCB25"/>
                  </a:gs>
                </a:gsLst>
                <a:lin ang="5400000" scaled="1"/>
              </a:gradFill>
              <a:ln w="19050">
                <a:solidFill>
                  <a:schemeClr val="lt1"/>
                </a:solidFill>
              </a:ln>
              <a:effectLst>
                <a:outerShdw blurRad="50800" dist="38100" dir="5400000" algn="ctr" rotWithShape="0">
                  <a:srgbClr val="000000">
                    <a:alpha val="40000"/>
                  </a:srgbClr>
                </a:outerShdw>
              </a:effectLst>
            </c:spPr>
            <c:extLst>
              <c:ext xmlns:c16="http://schemas.microsoft.com/office/drawing/2014/chart" uri="{C3380CC4-5D6E-409C-BE32-E72D297353CC}">
                <c16:uniqueId val="{00000005-3296-4729-8830-AF956772E2E9}"/>
              </c:ext>
            </c:extLst>
          </c:dPt>
          <c:dPt>
            <c:idx val="3"/>
            <c:bubble3D val="0"/>
            <c:spPr>
              <a:gradFill>
                <a:gsLst>
                  <a:gs pos="0">
                    <a:srgbClr val="55159F"/>
                  </a:gs>
                  <a:gs pos="100000">
                    <a:srgbClr val="7B2DD4"/>
                  </a:gs>
                </a:gsLst>
                <a:lin ang="5400000" scaled="1"/>
              </a:gradFill>
              <a:ln w="19050">
                <a:solidFill>
                  <a:schemeClr val="lt1"/>
                </a:solidFill>
              </a:ln>
              <a:effectLst>
                <a:outerShdw blurRad="50800" dist="38100" dir="5400000" algn="ctr" rotWithShape="0">
                  <a:srgbClr val="000000">
                    <a:alpha val="40000"/>
                  </a:srgbClr>
                </a:outerShdw>
              </a:effectLst>
            </c:spPr>
            <c:extLst>
              <c:ext xmlns:c16="http://schemas.microsoft.com/office/drawing/2014/chart" uri="{C3380CC4-5D6E-409C-BE32-E72D297353CC}">
                <c16:uniqueId val="{00000007-3296-4729-8830-AF956772E2E9}"/>
              </c:ext>
            </c:extLst>
          </c:dPt>
          <c:dLbls>
            <c:dLbl>
              <c:idx val="0"/>
              <c:layout>
                <c:manualLayout>
                  <c:x val="6.6666666666666666E-2"/>
                  <c:y val="-0.1296296296296296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3296-4729-8830-AF956772E2E9}"/>
                </c:ext>
              </c:extLst>
            </c:dLbl>
            <c:dLbl>
              <c:idx val="1"/>
              <c:layout>
                <c:manualLayout>
                  <c:x val="8.5723463346151496E-2"/>
                  <c:y val="0.15070255226717336"/>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11999999999999998"/>
                      <c:h val="0.25122126436781611"/>
                    </c:manualLayout>
                  </c15:layout>
                </c:ext>
                <c:ext xmlns:c16="http://schemas.microsoft.com/office/drawing/2014/chart" uri="{C3380CC4-5D6E-409C-BE32-E72D297353CC}">
                  <c16:uniqueId val="{00000003-3296-4729-8830-AF956772E2E9}"/>
                </c:ext>
              </c:extLst>
            </c:dLbl>
            <c:dLbl>
              <c:idx val="2"/>
              <c:layout>
                <c:manualLayout>
                  <c:x val="-0.16134939777640744"/>
                  <c:y val="-2.412398806669711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262213880241714"/>
                      <c:h val="0.22912820164720785"/>
                    </c:manualLayout>
                  </c15:layout>
                </c:ext>
                <c:ext xmlns:c16="http://schemas.microsoft.com/office/drawing/2014/chart" uri="{C3380CC4-5D6E-409C-BE32-E72D297353CC}">
                  <c16:uniqueId val="{00000005-3296-4729-8830-AF956772E2E9}"/>
                </c:ext>
              </c:extLst>
            </c:dLbl>
            <c:dLbl>
              <c:idx val="3"/>
              <c:layout>
                <c:manualLayout>
                  <c:x val="-9.7222222222222224E-2"/>
                  <c:y val="-9.2592592592592587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3296-4729-8830-AF956772E2E9}"/>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tables'!$J$4:$J$8</c:f>
              <c:strCache>
                <c:ptCount val="4"/>
                <c:pt idx="0">
                  <c:v>Card</c:v>
                </c:pt>
                <c:pt idx="1">
                  <c:v>Cash</c:v>
                </c:pt>
                <c:pt idx="2">
                  <c:v>Net Banking</c:v>
                </c:pt>
                <c:pt idx="3">
                  <c:v>UPI</c:v>
                </c:pt>
              </c:strCache>
            </c:strRef>
          </c:cat>
          <c:val>
            <c:numRef>
              <c:f>'Pivot tables'!$K$4:$K$8</c:f>
              <c:numCache>
                <c:formatCode>0.0,,"M"</c:formatCode>
                <c:ptCount val="4"/>
                <c:pt idx="0">
                  <c:v>5522910</c:v>
                </c:pt>
                <c:pt idx="1">
                  <c:v>5037484</c:v>
                </c:pt>
                <c:pt idx="2">
                  <c:v>6132531</c:v>
                </c:pt>
                <c:pt idx="3">
                  <c:v>6313492</c:v>
                </c:pt>
              </c:numCache>
            </c:numRef>
          </c:val>
          <c:extLst>
            <c:ext xmlns:c16="http://schemas.microsoft.com/office/drawing/2014/chart" uri="{C3380CC4-5D6E-409C-BE32-E72D297353CC}">
              <c16:uniqueId val="{00000008-3296-4729-8830-AF956772E2E9}"/>
            </c:ext>
          </c:extLst>
        </c:ser>
        <c:dLbls>
          <c:showLegendKey val="0"/>
          <c:showVal val="0"/>
          <c:showCatName val="0"/>
          <c:showSerName val="0"/>
          <c:showPercent val="0"/>
          <c:showBubbleSize val="0"/>
          <c:showLeaderLines val="1"/>
        </c:dLbls>
        <c:firstSliceAng val="0"/>
        <c:holeSize val="55"/>
      </c:doughnutChart>
      <c:spPr>
        <a:noFill/>
        <a:ln>
          <a:noFill/>
        </a:ln>
        <a:effectLst>
          <a:outerShdw blurRad="50800" dist="50800" dir="5400000" algn="ctr" rotWithShape="0">
            <a:srgbClr val="000000">
              <a:alpha val="20000"/>
            </a:srgbClr>
          </a:outerShdw>
        </a:effectLst>
      </c:spPr>
    </c:plotArea>
    <c:legend>
      <c:legendPos val="r"/>
      <c:layout>
        <c:manualLayout>
          <c:xMode val="edge"/>
          <c:yMode val="edge"/>
          <c:x val="0.74949573725718655"/>
          <c:y val="0.33155860836544371"/>
          <c:w val="0.23459336377702192"/>
          <c:h val="0.4787267549003183"/>
        </c:manualLayout>
      </c:layout>
      <c:overlay val="0"/>
      <c:spPr>
        <a:solidFill>
          <a:schemeClr val="lt1"/>
        </a:solidFill>
        <a:ln w="19050" cap="flat" cmpd="sng" algn="ctr">
          <a:solidFill>
            <a:schemeClr val="accent2"/>
          </a:solidFill>
          <a:prstDash val="solid"/>
          <a:miter lim="800000"/>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excel projectt1.xlsx]Pivot tables!PivotTable5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4510B"/>
              </a:gs>
              <a:gs pos="51000">
                <a:srgbClr val="FF7A00"/>
              </a:gs>
              <a:gs pos="100000">
                <a:srgbClr val="FFB51B"/>
              </a:gs>
            </a:gsLst>
            <a:lin ang="5400000" scaled="1"/>
          </a:gradFill>
          <a:ln>
            <a:noFill/>
          </a:ln>
          <a:effectLst>
            <a:outerShdw blurRad="50800" dist="38100" dir="5400000" algn="ctr" rotWithShape="0">
              <a:srgbClr val="000000">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tables'!$N$3</c:f>
              <c:strCache>
                <c:ptCount val="1"/>
                <c:pt idx="0">
                  <c:v>Total</c:v>
                </c:pt>
              </c:strCache>
            </c:strRef>
          </c:tx>
          <c:spPr>
            <a:gradFill>
              <a:gsLst>
                <a:gs pos="0">
                  <a:srgbClr val="F4510B"/>
                </a:gs>
                <a:gs pos="51000">
                  <a:srgbClr val="FF7A00"/>
                </a:gs>
                <a:gs pos="100000">
                  <a:srgbClr val="FFB51B"/>
                </a:gs>
              </a:gsLst>
              <a:lin ang="5400000" scaled="1"/>
            </a:gradFill>
            <a:ln>
              <a:noFill/>
            </a:ln>
            <a:effectLst>
              <a:outerShdw blurRad="50800" dist="38100" dir="5400000" algn="ctr" rotWithShape="0">
                <a:srgbClr val="000000">
                  <a:alpha val="4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tables'!$M$4:$M$9</c:f>
              <c:strCache>
                <c:ptCount val="5"/>
                <c:pt idx="0">
                  <c:v>AirPods Pro</c:v>
                </c:pt>
                <c:pt idx="1">
                  <c:v>iPhone 15</c:v>
                </c:pt>
                <c:pt idx="2">
                  <c:v>Laptop</c:v>
                </c:pt>
                <c:pt idx="3">
                  <c:v>MacBook Air</c:v>
                </c:pt>
                <c:pt idx="4">
                  <c:v>Sony Headphones</c:v>
                </c:pt>
              </c:strCache>
            </c:strRef>
          </c:cat>
          <c:val>
            <c:numRef>
              <c:f>'Pivot tables'!$N$4:$N$9</c:f>
              <c:numCache>
                <c:formatCode>0.0,,"M"</c:formatCode>
                <c:ptCount val="5"/>
                <c:pt idx="0">
                  <c:v>5398413</c:v>
                </c:pt>
                <c:pt idx="1">
                  <c:v>2352917</c:v>
                </c:pt>
                <c:pt idx="2">
                  <c:v>2432276</c:v>
                </c:pt>
                <c:pt idx="3">
                  <c:v>3842259</c:v>
                </c:pt>
                <c:pt idx="4">
                  <c:v>3437668</c:v>
                </c:pt>
              </c:numCache>
            </c:numRef>
          </c:val>
          <c:extLst>
            <c:ext xmlns:c16="http://schemas.microsoft.com/office/drawing/2014/chart" uri="{C3380CC4-5D6E-409C-BE32-E72D297353CC}">
              <c16:uniqueId val="{00000000-B980-4A42-835F-45C0178EB67B}"/>
            </c:ext>
          </c:extLst>
        </c:ser>
        <c:dLbls>
          <c:dLblPos val="outEnd"/>
          <c:showLegendKey val="0"/>
          <c:showVal val="1"/>
          <c:showCatName val="0"/>
          <c:showSerName val="0"/>
          <c:showPercent val="0"/>
          <c:showBubbleSize val="0"/>
        </c:dLbls>
        <c:gapWidth val="45"/>
        <c:axId val="408486592"/>
        <c:axId val="67229584"/>
      </c:barChart>
      <c:catAx>
        <c:axId val="4084865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29584"/>
        <c:crosses val="autoZero"/>
        <c:auto val="1"/>
        <c:lblAlgn val="ctr"/>
        <c:lblOffset val="100"/>
        <c:noMultiLvlLbl val="0"/>
      </c:catAx>
      <c:valAx>
        <c:axId val="67229584"/>
        <c:scaling>
          <c:orientation val="minMax"/>
        </c:scaling>
        <c:delete val="0"/>
        <c:axPos val="t"/>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48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C07F-41A0-B98F-0AA5CD9B7B55}">
          <cx:tx>
            <cx:txData>
              <cx:f>_xlchart.v5.2</cx:f>
              <cx:v>State</cx:v>
            </cx:txData>
          </cx:tx>
          <cx:dataId val="0"/>
          <cx:layoutPr>
            <cx:geography cultureLanguage="en-GB" cultureRegion="IN" attribution="Powered by Bing">
              <cx:geoCache provider="{E9337A44-BEBE-4D9F-B70C-5C5E7DAFC167}">
                <cx:binary>1Hxpk902zu5fSfnzyKFIiqSmJlN1qaNWr3a73V6/qNrttjZKlLho+/UXx0vGVrxU9L636o4rqeQc
6UAQgAcEH4D+1/38z3v1cGd+m1vV2X/ez388Kp3r//n77/a+fGjv7OO2ujfa6g/u8b1uf9cfPlT3
D7+/N3dT1RW/YxTS3+/LO+Me5kf//hdIKx70pb6/c5XunvkHs9w8WK+c/cm171767e59W3WHyjpT
3bvwj0cXd6a7c3fN3aPfHjpXueV26R/+ePTNbY9++30r7C8P/k2Bbs6/h9+G9DEPEcWUYvTxT/jo
N6W74vNlzh6HjMdhREj88Q/58ugndy38/E+N/vHbWfe++qliH9W6e//ePFgLr/bxv9+T8M3rwA3/
59Fv99p37mjHAkz6x6PPj6qsTj5dSPTxXc6efHz537/1wL//tfkCzLH55isnbW33q0t/8dHhQZXV
FyP9z/2DxWNGwfiIse/6hz8Ow4hyEYWf/MO+PPqTfz5qs9s33/5645fD5X+VXzJfmzv3xTr/C47B
j1mMWch/AJzwcRRzxMA733UMqHMH+ux2zfb3G+dk5/9Vzrm6g/R5Z0tnfppB/mZqix/TCCNBovi7
0IHUhkRMMP3koDj6EhyfoPOVTru99D0ZG09dnf5Xeer2rq3Ub0/u3vsv1vqfQykMH6OQhQgJ8e3i
Ix5TxBFGEf/ysE+u+Y8Suz3zHREbx9zCavJftO7cPqi7rrjr/jcBxB8LhFgUhxu/xI8RigWNo8/Q
gcuf6pHP7vmiyn7v/EXC1jnZ/9fO+X7cfF2zfXPH36zZMH5MIiygZKPf4iV+TBghFOPPCW9TDHyn
QvtWje9XaJ9/9s2t/49rsB/XZ3/WsgcohNOPRfBXJdrPr36p7TY//Vkt/cllZ+//eMRpSBBmKMZg
Y4QxIZCU/iy1jyK/wcDl3fu7pvyCix8KeLiz7o9HAj0mWDDCQhZDsRfF4Nfp4XiF48cRCaH4EzGF
/8GwRnXauPKPR4Q/RhzqPkRoyGMmOFyy2n+8BPFBuKAhgsKRRFAe/rktudZqKXT3p50+f/6t8+21
rjpnQZkI4Nx/uu+od4BDyilH8C98f393A3seuC38B1VON2HjylM18fbEg/JM1v1UxIno22GUJO7W
Cx50IvPE2HPkIn6usSi9HJmrn0z9GjjZiSVqD3xW5mUU5P6JjcXysq/bmCZdJbr+xDRto2Q1DfFN
29f2GW8QnRNetwJJwlddDbIvisAk/RjmqSUo19LWAy7ejWIM+rNRa3plcUTO1RxOd2O+dO/6sols
amjdZ7rtTCvXqIqLRI2WodNpYeytWZpCS6LjeckW5BCSWKlxOLM6yINkWEpaH3wf1sN5LVj1bO55
VCT1aobbiPv2uRd8PrDGj3kyL4a9wUvTXs9zuATJPOJmTEy9KnWCl6FkkkQlejPUS0NkTAJTJXHj
+M3cVaOWUU3G+zoK5vO4bul56IviJgqiLh1EhZ/jqPavUG6i6zYo2xveNiwLHI1PqerXbERzl+YB
4/nlGDFyWHQ0pKRg8wGzKRAnozetlwX25X08zeDHQNkyThVmo5dtM60XfcDIhykf5+doKNaHamrb
UeZFP7xZcUOfxn6pw7S0dW6SltbFC07VOEvvW3dd9jF6stT1PMl47tdI+mIZs0ZVxSzrYpxe8JAF
L4e4KpVkE0cvhA/LRcZsWJq0ChS6FqzE7+pwGjKziiEJsWsKOaPCXrcdC7TUfdfytO3z+KImjbus
u9IMciCmO+X1UNkz2g6xkU3YubctbQJziKi3D0Wbz7fRqKdJWuryUAoXiITnXlzp3jCbAD6UOriY
4qwZahs/jWKvhtQtdTcnUTzSUi6B0tXVtPK5ku0yaJrWYxeQk5au/KGrSU4PpRqiPOnrrl9TNmAV
JkHc1lq6yPRvV6rK1wj3WrK2mrunbTRHowTULBaModrpNOq4dwkYdvZJRdsK7Dd60JPAg+ZDFS3l
TRSWgwHrs+J1a0n+oap7vpwbhfOHJmfuVNSDD+97NaJWloaFY0bafIWQmiOnT7ghpb4eFQ4vfVx2
ucyVEmflNNl7z8o5DUzvuwOqWvhssQ0uw6DSTTp6H7+lel3ra1eOzEs659FZPS3ti8EV9P0SrdWb
uWhyIU2c8/7QVa1KQqSjkxoFDU1o2E1nfclLLcuacSSrgDF6wN2gRIJ048JkjAt/ssRo6WW5LuIh
Hg3Dh8bGYSq4imo5zo4/Qz63ZyMb7ShV6+fngYrtu9hE9lVdl+gJndf1JPLW6UNbzkzI3sTjsyCg
9tVkokiaaNIX6xoOJ6OCfVo6i7pnshrzMW1x7CoZ6JKmuO8U2KLVRSXXeuxfLa1tLrqwicqU1cwS
WedUn3WumLEMc7LKCKJykgpNupRlNEZyrDlLmdXjfbyqeZBh7XmcuGV1V6pRyw2L11Kc6Fz3eaqi
Zc6GIoiysFfojPfN1EkMbnxj4mZ97wJbsBQ7tFyh1gVXnpfFVWyjppRYU34ztX31fBwD30o1svAM
TWw9pTY3N5WYxqe2wMxJPHXBoQDe5LXWJU/HdSpPbJ7nt85DyklIW6wndTOpRUZxX6WBQ75LVirq
t1016ae1MlFqhyKWdTzPZz4363u/EC2SpSx1mDWNJlyycQHf+6YviaRT0b/pdd+84WGBp/OYhEQn
0cyNhBzuXoB35lGipQifknayyajcsJwH0TxZOQlL4kyLWh/yKvBNgiyZeojVWr9TEWG3jnoIwgH5
GMtiGuq3oab962iYplgOg9FKYk9ddELZistEN3XTScfNWmW4R/1LW4d1c4OFbh24hEDSKRAdDiTo
EL4o6wVNhxHMv6a8csEsWb+M8ylWE6FnBi2WPO2H3lwVa5VXcuripTnwAsdPzMDVu7ksyg9lYPSh
t6i6LbCxSsaKwHLDVSOyesjrMlGF5mm+hH2fFB2vTmmHfHEI9DCf03GYS0mWXJ37aWRrEo2qtYnS
Tj9BNR7tISxscRhFPl9P/UDWQ7AETTa2JToLXe4PI/eKJnMbRvPJQEh9SUwYRAnWjpyinpTZOD81
fl4LWQK72Utjx/Vyqfs+9W3bRRINFDXJwNr6HR+aLkWKXExzNXlZKw+/0qDhs15z+4ooMZ27ACqO
pFhcVErboLGWekLVoXBcnwNsIv2qbZahltTZU85E5qxamVxC9UYJE1841kL90AwxlWUXq/OSTGEB
cDFDAxxoHiEJaaeDPBQFmQlviJif4VDHUqBxfa9gNYCFunK3qlPiolj1nCxtLhLaWXfT5X78QGHx
yUjhyDmJ2R03EzusPlan60SKU+ysfUHmiJyKJuIAXaWUdCKkD0MV52Oi1Rhf+zAkJ42a/JysXPTn
Ye7alC2VP83jcB0kqSpjDlNVz5crGdxlV2h0iMe8uVIRJPK0nrqhl+Fc6CWhIgy8dCzMm6QcgzCz
9RLXcq2G5mwFZvMG11SdzxBql0K4+mKNK3rhSy8GWfXevo4hzg426sQ9W3LcSdbR4SltlbjpWsRP
a+e6MKF9nks8B/h9DAFzyG3YPRvquJGDWiuatk1BT1Hk+heoQ1U2eXC/jofydVs2vJUTblYrK1Yg
GfKaP+mamN2HlYtQauJJJ8y4/q0zcZSsbnC3A7b2fi7C/po5Nl91pl5EMjV18cRGlqdE8zKbIlRZ
GaieOKi5MH/brqReEu3V/ILRihoZTW3xkJdD+bTNA3JZ+563iWoBhXLqXQgLqPb+zUgXnvJxEM8D
SkYECSAv3nDUlIMsqnF+G7AyeNt4aipZu3p+2cc1y0rR86fApJLzeJ6aD6CvueaFXd7Fq6+0XPvF
QnlWGdXL0Qh3Gy9TO8jaTlF9IEUlsGTRsjwThREnfImmlytl7IQPXXsHTCCUGr1tpkI6m09O5sZ1
JsEDKTJw1XQZFoWD7FDl5lllCBugfGFNLd2qIFNhPTuV9r401TmvA68z74zJz3rjUHEQ8czUiQrL
8Inte/oK82ksJLaoWU6qsR1DORtREFlhIy6qgq9touls3WGcYlMmYkUrSTweWJzky2TeTK4y9cFU
JdJJtar8qmKY6EPkWHkGERKvicaVuytKDovaFInwphk52N8KTydZtLU/xdAqeUlpOdz0g7KNNLAf
uqkXGh/GcCySACN+UdlIPA1njx6qcBBKQhR0OIV1t4MEiL2aZCNM9HxRvirTaoGSQE7Gll1aVGtf
HcIAtjDXImrH/GQaI3rKFdb60DS0F7C8dYIcNCwV4xWubJ9L8EJRJHOsecZCJ26Uwv1wWONJrFLH
in6o2yCODl0chC/iKFjuKhGg90Io70/1tMJK3hjjPBSrddfJwQ9zn6i67lNlXZmUVBUfcKGrG7f2
dbLEfVidQI25tpKKKl25Ns+86OzBcAMpqrOCnSxQtdUHOoc4jUshIE/5RkjGbH4XTwO+QR2UGClU
vXGQmDaOVDr3bG6gvlbBB+XbFWo0b87iFV5cruOgT4K8m1PDCcCEwrp8gMj2YTrUSN+ReOjxdT0W
Ks1HNkv4NF9rpPol6Xo9YYl6k5cSogoneTuU17lq6BlpRPG0QW1r5MIsD2EHhIdVGjKJMeEgsnhR
VxR0Cg3pX/YTF/YwxLn6oFWFbwxRSwOlTsMOKh/8IaiD9cD9DE42c3DqiHEpy0lfJDmCClAuhUGH
onMu9SuCWOyrJpIRKvq7UgXmoplXDAV+uK6ngQvjDwvl+ZLlQcvnq7CugtsxGEGKKG10VnDRwJYM
9pw4c8Tn5xpi+n5RMRTNKw2LG1i5+0ISXMUXItfdWe9Q08t51iRDgfXJOPD6hMMakhYGDynDZTPL
rubrGa3LWgaI+zTWwSj9Yv0VKE3PKcHoNdQBQxo3cXfShBUJADRKSz7lay7jcVBJzYvqMNeNv9HU
B1a2RGkr80ENshtQ9YyjVaVhH5eFjEQcXaAWQzkVNXmKWf4O6tQ4Q4DJFHbyNgV6rXiLTeveLQhF
RAZVmB+KBTdvC6v5s2IN7Sxhd1CfTzpQ2Rq0bbIUbr6d5/x6KV34JkSqfBZVBnCJZ97JnEXzuRjG
6ZT2qrhgrG/A7qw6F6WKy2TmVZTpBuFXg1k55KhKs2OF3pKTEqGqkJzSvpWuqKGabSr0LoIUc1pB
WZo2ABx7NXXKQxAR2BybsYXaNahqdyjIqs609lBEo7bSt7qAihdKOHbN2Eyf01WTM85scK1tRNKJ
abvIombj7RD0xSQh8+IzVgiR8nksbwF6+ZuS4RVSW+57SI9FBdnFj3ElVYfaJ93Sl+ckL9n1SDEz
chBiqSRhqLmKAuJPy6okTyq8zkLmXV0/NWoolkOE2uBQIs/P8rZY7CH3tXu+YFW98MqP13FQRPeA
3fA6LE38MNjSnpi4zlvJ8FIGMpho+Ao7DVV92NRn0cDqK46QmyUagctoHeSrynvspBdtfaY6Xx58
17ZZLoZWNnEwn+Ge9Ydc0fkiUPCyDQchMg+6AUrWQrM0UsS/MrDUlfC0QZ0gFIJM5NTzHCtx60of
NHLxPbayLyd2MjR1n5QEz1daB2GYHCuXKKG87G7DNqxPGB3ra03xBw6bQViVh8baw+wDd7nQmb88
Lp/p2DSiu1EznV4yWJTBl+ugxYkftXvf0HlJ/gGbc9XnHVGnZImgolFmng+I1drLdSmjpyssKf6g
4hrZ5CNj9pnc+4aKutf9Yqqi/Nwk//Pjv291C/98bNj+58tjj/0/n7IHfeSd7fam43P+vOs/Td8j
VfdnB3hDBX5q1P+AJ/zpxW9IxPuv29Vfc4BQP/6MNPyGoD1ybx/v/8QRxvwxDUMOdB6BqgMYv/gL
R8jE4zCG/q9A0OgSGJFwQxICg88Qiz8Ti/YTScgec4YoiQXHQG2yOMZ/hyQEgvKvFGEUHXtoX1OE
Np9z3VQxOy3DQxw9tSP0Jf8kTb9DPv5I7vH7r6jHGFcjs2rmKew1VCnXdVlelZjNnyYAPg0A/A3x
4JWvxdc8aJZp7ngKjJIxN7CNRsVtMa/6w8/VB8L9u2bB38qP27URHkiaNMaRXZ/1YRsjWZI6CiWi
sCRICtuH/OTnD/uRrcD9X78MUJqsnooOKA5LBIEyhBRG6oWJtz+Xf6R7/0IDg4/Rt/KhTEB9HS8M
SpmeXoXhRNvnE6oRu1yE6+Ys4CskYaDJ+pufP/AHLyQg0r9+oV6gfuTHB44q5vO5Ln3uE2p9WaU/
f8BR0Hfe6Nh2/PoBolon5DyJ0qmxfDpnC8lx0jcWl5fAtdT4KvQNcBGDHbqFS6QosEioK0dz+vPn
/yA82Ob5bTzClsMXPGuVHXKgddvBvyTDGiPYY5cxfwYcPmFnP39YePTT9952Q+PD/gr25naJUuCW
xyERWGSchB/6hgwT7BSLaWyhCuLBpZ6KsEk9VOGik0EhcAsjIDvQLI52+ArNqljaUUUT2FvgKCFG
f+DRVP3CmD+Klk0K0pAWJgGcRLoslr9GetEyH339dJ/qm0SkRF0BCwiUWAOb/wcENMplF1SN/7TU
/d1EJDaJSAdT1A9lFKXK8fElcOFUzvnK96U5sUlDRk3A9eAhSp0O1jVFczCaA+u15jvV36QeDGyA
WFQNqQeqYdg2Hcs9oOUAt4dd5meb3KNgJx0uc80zE/RTVriQKlkQUbzfJV5sxON6CTpt+yDr9MLZ
ta1gROVl61zwYZd8vslkFraEaJojka06bNOloIGRc9VY8wv7H2P8O9Dmm0QS64Yqj5c804FY25PJ
hP2YqmkJq8NQlTTe+ZhNBiFU52LqA545BwXuacd0h9K1C4E67ys3zfuQzDdpYtDjkJO5FVkPxNRt
Y5byacdZfPtzX/zIVps8MTWzCCcooTIczBXs+mGffVnQRQ+vmkg08y9MdcwL3/PI8fuvUl0pir4R
vBeZUXQ5C9oVPY2L0Cj585f4kXjyrXidVwsC47DM8wHD1qOe6Ru26j7dJ36TMPzINRfQjc5GBR5w
qmhT2OXyfqf2m3ThK9ItaqlFRu3YgA8WMQfSoqVadz5gg2fYZUUDdCNFFoftAKRAGHVTamDXP13v
MtCxCP/avRwvxIbBzLLYltVLoEvs9VwVw7JPf7YBGl8MTILCOFTWE+qqU7eSOZZl005oH8TYBmJz
tQzMYcOzxhY9PbMtHoWsjzzqLx5wzDzfiX+2QdlS1AVqJ3DxkC+9OdQF4Rya1+vIzguXt006F3jp
XqtWkLe+K6ZuZ5XDNsBTc5FzvU6QChXsV8/LwOZAOK5NDFWjcFNNYRTB1euYVCXr2xMgowp+YHQi
+vmIHPO/eP8fAJRtALrkDGjNJsizlgf+QKqJZ9DTJL+Ij/CIlO+ZF38bf9Ho5mrAQ5wRtBqdrmE+
ujTK11Wd9jHhy9PCtvpDH9CpPaWr6KInMyG4u8JciPq1aDB0RvchYYNl0dUR8I4VzXqeW5KwNX7o
53ka9uXRaAM0Hxom6rqgWdHP4k0Ey88Ti4J2X577OPHyVZYG0r6rg4DHWaRgJ5P4ULSr9JVZ7C/C
4AcwOA4wfp0nbDUsEQbWPnPLlOMzQY1B7+Y+BEiUGHh52VUeiDa8sr6479vV4p122wCcAEEHXjYs
YyKH4Y8emiAtcEY02Jliow3AV7o2g2eGp36IQmiOjcVhZTo47IqqaINilseoq4d5zawvXLZ2vJbM
9PUvksQPwBltwAkjqGUwwz4rq3HVJtiF9SFfNN4ZVBtswkZEi7DSa4Zh3yhRGb7qCvqrSu9Hqm/g
FrK+o7Mq1qzgi7vyC/TzUjWUYb0zbjYrZ1l71xOzrFmQt/EZHufmkBNBs11upRs0k36MeteAdJdj
mkyEW2nbsNqnOz2C8Cs0iw6vAhpYoLuDGYCG+FGyhtN9iW47BQdTLQZNuV2zIazUiY27IoFu1Xry
c8scYfOdhE43eO3yqIQhlWDKpiB6gJ1gM55Q10Cv202c7XyDDWTJyMeubvIpIwDcm9jpOg2pbvbt
kOkGsq6DWmVa2ZRpGrEz6Hn4Q710O9MN3UA2dK3KxVr7rLCKXlSq5Vf9rHaqvkEsrKR504TEZYOu
8zAxEbYJL+emPPzcuT8ALd2ANsoL2wQrMC99V83njSvcpc9ztRNUG8gCPxqMITQxTowvJvucTEio
p5GBsbp9cUM2qIUG2DgU0FeCms2vSdNHb5Z46X4R+D+wDdmANqphWEwImMYaVBlKYj2WQxz7napv
1l/S1xTntRjB8sEbg6EA6+I53+dWssFs068mCCz7rDrFA5bRcVRuV9CQLVojaHqJMhzTeALSGB+l
2/2GObrjq1wJUzt9rixIn2voB3rReOhY43qn7hu0ljQSGs5zgHSKYbCGqpMC5hX2pXmCN6rDSIKo
ChAO4xxtpjgMZJQNm/fVBscmyteGmR3hObS7xzRy+QRd6hHm/frc7dR9g9W27HGnCfJpN66dnMrq
wddruM/qeINTu8Kcji4nD/M+JZWMRm+C0eKdwjc4RXlkCPQ/XcoH1B3sXN1ZD1NDu2Idb2A62OM0
BnRN05rFpWQ19Hm9wXyn9A1OOamDogpiUD324ZWF9sh1zgu1r0V1HM3/JmA8xR0FydkawtlhuXaC
RYcAZo0/t0H/Ljd8POzx9QPwMMet74sxWyjMsMuA9FHWT9jd77P9BqvQZMdGzy2srLlVMH1uw4Nt
6iXdJx1/q7w3eU8K6BdnLiZvwxo/s5Q82yd6i1S71O2yBC6ryuAJpMc3C+Y7+TW8wWlcVS0PO+6y
eirFwZfRrW5yvS8JhBucdo0NTCy8z4LKVTB8xC85HtC+YD8e2fomWhDMzdpZBCkMNL+vFphViNqL
XQYPNygV1QQTy3WwZCDWwlwftnCoAYZji32pN9zgdCwiXzbUuAwOaqLX1EEekLZaw32VRrgBqh8U
RirXPmu1WQ965u/KCgbK9tlmA9JcVAMfK+OzaDFL0sKANozG/qrzehTync3BcXjga5/GHYxM9kHr
MjgSFF8JW4RXKsj7V/tU30AUO+wM/M0DEI4lTJzAaPZrLqqdLt1gdKUaRmfKxmcmGokMxfxGDeJ6
n94bjNKJzlNFQHZQ21vql6uI2qtdotEGoXrKc5gfLlyK8iBIgjq/rFa0kx9AG4SGMALO1wAHKRwy
e9ou/I0wi9qXWtAGokEJdbrRYBNVds90oU/yttyXydEGnbSfFjID6Z3qdTw1E76g0b4VFG2A2S8w
kap72NuxtrgUes46k+/rfKINLCvl5tJ7ULpvX6yjh7G9l/siZANJGHMy/dqAE2nZvDNz/EysbF+e
Qhs8+mFs5mViLlvg1MLtujic1Z7Ywz7FN4gkXT53dRW7zAbQ3cddcxrn8et9sjeIhLl7G8HfMhKk
UQXVbYDYHY3JvoUNRiK/TYIQ2MOgECzJZQVzr5GlwSGO+bgLODTegFLYkTsajUE6sOdwkkNAf3mP
TWi8QSScDRnoUC4u8wLmKyZi4WDAwG73Cd9gcoLhkWXpcpuGZX86KWi3DwTmMPcJ38DSeI+aQIFw
oaJr4vv7ii5mp1U2uIRDrgsaRAxnM1tyHYHs2Y97ZW+gGU4VJ2QOgTbGBF16UdTnA53ZTqts0Fla
OiqoZyFQIjjUsqL6hWLlrgKLxhtszjHM3cPZC5fNZHF1gmjO9AFDBVTtSi10O8LVTy3NYYrCZQXt
74JpfAXNhxe7omU7rDUSggwjYBfvi+gw+AYmcQXmu+oIIIS+Bb8pRw589AyKz/O11+h8hiHsfbEo
NgitW45gVpbYTDTkSsHAIZw+5HifxbcjT74wMHPpR5ehXj2jAQyOm3JXkULFFp9R0C0FaW2GcYST
qQ1NEtL6wz53bgC6QEfBitZZmABgbwo7n1c8er5P9Aafs3F5I3BgMjgRBicoNR9OuhYOYOyTvsGn
hmMncHQXpEMLaT10q37CCYyZ7xO+Aehx5Lopw8lkGuZTjrPoJriAwwrLzT7xm/VzCghkRTi7nOFx
eQ8nZJ7NVrzbJXo7geRg4Sl7GLjPGlbczH1/BodB9sXhdvhozEXDakVNBmdXynScCnwIVHe/T+8N
OKuV5tbMjc3isk8aujxpxa/KziNO/rqrotsxoykAPnjsucnKdoSBdsNhkn9g/SynGvsl2af/BqRR
081doyOTqYq8VSV9FfTN7T7RG4jOMISo4My/AfyP9nS0JpThSPe16ijfoLTAJRwnIRgUh/MO7Rh0
cBSpf7lP8w1Gy3noG4NKm0W4otP/5ezcuuVEua//iRxDAVFutarctU/ZO+fkxpGkO6CIB0RRP/07
q686/tNP3uFtH9wWwmKxmOs3zxudVgZARKP0sU062a1TpqRMp7TBlFyC18qQ99Vw7CwOHsavO1FT
xQMOzHh0uYpXF1ZvSsoPXUOxvaioSVd0bM2rLWhpSBGkxL1G0leHxLdsLzYmyRzGc4WZWIbbmq12
KCg7qOhie8GSWcrALaOyRTv3ITphksvg5bHqMLoefh1yZ9k0MYEhR3h8mFfy0MTLsTW0lykJL5up
HqQtklK2WbKtDwL9ksd2i70USWCWhAvRtoi6+YVGw6MN3cH33q1OW+F2AmyPoRh5+qmK7Gujh0OH
OMZ3i7NcGNqF+9oWHCOTCejCs2E16bF4yHcr09F6CGr0HuPeRg25Jfp1CsSHQ2FlLxIOQ5yz2jgc
CllRU2cehYrzFAb82MDspUh1LSAbq1esG7GaPJ04f9tU4Xbsi+6lSHMd8xJiuKHYBFo3o5E9Yyc9
dnvO9jKkCWyeLl46TJdOoNX/BuPRo8pSMetDNRzc8P+6RqGfDYVcWoy9VD7JWxTPirJkw7F7BLaX
G616mlJryr5Ig1EP+ex783MSiT94aNwLjiJDQuZF0BdWoSfQSF5nGKH4cmhm7gVHSbIsoBeEfTE1
nOQhh/Cb4vR7LM7EuxXrGmjjR9r2xcgS6bIIzJ5vel1aefD5uzWLTnlu/YKx6RTANpUzH5YmOrbn
xfvtlHTeBMmEcW/T/m4dw/Him07dHRr3vd5opjNd+8b3RV3G26ewK+UdGKq9PjYwe8ERRZyMyYrP
KtpyGC/JlFKWxWWHrv9j77/LfnEZp7u2nzHydPRXa9MPamiO1ebZXnKUaANUgLN9kTD3rpLjq9fu
3bH33mW9EvgB2jRyKJJWfG07H2WKsT+JX9nv8/a90GhAyTwF+qYvqK3TrwkuFe4mbeaDU2a3s7ow
WNaNxl2BlSoyDulLBtpKcj42MLulatcAd/QNnh7P65TFUX+v2z+pmP5JQX9zoNnLjIZqgbwuJV0x
cy3LDLfFNYJNUi06l0ZIfWf61b+bzNhc6UgDXjilhvg9WtyS4QWUx9G+E4nhdxr3kt0dCDqMg2BT
oRgvlyENfbaxerAfwDQIpjxch1Z/65QKhpwjsSQn0GfUdE76aUEbcIQqWc5xSw100BCkdUGSRbFr
2QEhBUwUqgmfAyh710tE6zE50WTBM31Tue0iB6FGdNuRbboYQpbtNM6Gtl8XNKWXL47xoP4+RvEw
FOlGxFzYBb/31LstPtfhHKd5m5BI53xN5HQno06KR562aNUKhw0otVT4bEa7+LWvRrsVYQcQ3cWb
Zman2TIZn+fEM5SwGzWzXDa96ZDPCrHmqa1APDJdZaMH35a1uDY0cqzYMNo+j6merxta859tO4fs
xMJ53kCNsuX2ronqLjmWhezVL0NbAbOzia4QKLZlMakf1SaPda2wvfglxE+LWdp3xQpKlTl1oa+L
BTiDg9kf20V7s4DipCfaFTxWHUpWQUYkFceC5V6mRlm5Igtu+kJx83fJ9LsyqQ4OevprdgP8yLI0
YKcU8VQWI5hFZRwdq2zeaJL/vtuNZ8hqIpS/CiLEAgoAoD2iAf7mULzZS9RsKCnXuHEsJKnrbNHD
T17bYxnrXqBWozd3bpMQDBuwCJ7R/lXdddSZY3GY3qL/vwRqilfgkRE+FtJq9siQfKOvYHJfjo3L
LspbI+d57ueuABhl+mjTYcNNRJu6g8O+m+dRW0VbQPFRuQTy70zGdtqyJIj1cDr0/nuplzODLwPl
ugIXVT99z+7jYDzWcsHIbrL3k7fzsCZdoUIBHZkbAe3MqajJz2PvvpvxczxsdJ5IXzSD2NIs6QaK
O3awP45pMYD++HXqeLD8onCRSBDg2JBNia/PVVUdTBD2eq8eEJh6k9jCcUdjcyjKeN4HPiyODc5u
2vsQ3ctx1XboRG2ae07n2GV8sPyYvp+R3cQf6xbMxq5DJGun5F61NPyKM+16rBRMdulNsphhMyPy
VZSylmvJyqlIQpccnPS7cwihzSSqW4CvKyPz0Q8ym5wxx9bsXvIVWSCsFpyTi2Bt6d8KavO/NwPC
aX7ow+5FXzGhLYBDui9inszBFWShKA9L7+M/3B3+R3s/2wu/0A9alrxJ22JrImrf9xpY2bxMWtKf
PGi279ER9hwEogGqqh60yCVop/yigjjujn39vT4MjbQ8nGrknx642zQPTA0AhVFt3xw7Ru8FYjyk
G84st8hUuqh8MJVER/g6rC48+JF255YtnCxaUklbUBpVOlt87RlQhWw+mKNEu+XNARKzLcEfWCcC
2fI2fYJ6/8exGbZb2o0zqxPT1ha9bcd8kfTn5uKjL75b2XIAg2oELBCwYXZpiL4nZDxWAvinx/Ff
O70JglB6EEQKx+Yx1wHDVYPf3h4blN1O7FRjZeTntignm54nBfKYiauDW+VeJ+YT2NS0+KJFBRDa
d1N7+sMG2G4OvfteKDbWrO1YG5kC6cpzMm8P4Ff9geVym2+/OSrudWJywT0jt11bjAtR91FjU/AU
O39sE9tLxbzmVTpragpw5zqZ1Wk63KtkatWxZboXjDEBvBsHAaxI4rbOB5HeaRatx/aBvWTM9q2U
pajaQjDlH0drWJ64en7939/0Fkl+N/C7RSq8XmcfYX9vNjYgaw5HCRJ3GHXdmeNg1B7KseiexwQg
R1n2zoIVZ5PvOKg/mUR9+t+/4PdTh94Y9f9OzNkc4moQ7VjoEOzKOhsAZPvbU/BOjz1+N0AVcuVW
lW1TiD4tUd0Z06vh8XRoSVHArn55+Y7UwOBavHwpFc74EekzMB+OhQO61+8IvgEXOqLYEXkXrUBi
4/I3B2ayng8dFsEA+PX109mXPdKIpogUX09gGIcvHZqnDsVKFKB/ffrKwX0HcA7U6Egu3X0NmOMz
IX08HXp7thc2pisvYX4guyKcqAPzO3b1Ld6HojsdmTss3CWIJqjGAXRABMyYvJtc+FbCKeDYo3cj
DySJS0OLd0fJNz5VFvdL2xS1Byf9buRbRMhAQ6p6jhJbvp3XoH/XqvhYix1Qb79+16ZqoykkY3NL
DNLX3tC4cFWcHhp0uhc4wtzBhKW5LViFUlk3pK8BAwDyyLCD1/zrq0+ra9dprRrIVsAVy9ERC0uC
RnTzH57/T7Hi/8ZjuheWwXONLJxPiGZ8is2bIQLE8K7S82AvOIhN5AKTDg4Yatws3WOw4lTw2MN1
wHwhEWWXCXTKa8KCNc7EVk7AHwDMrd+Aqb2Q3AzDWuWbVOX2vStBj760PfbcfIrr5Qc1jD3Mfe3u
10rNF1pO8E/YAKlQN3Qm296rCP0tr/oGkngPg4x+POHAxjb8W+tzFUL5+Vz3CiBW/Ndj9URJCfL8
oUHfC+KgaxzIrSH5LMuofp5BQX0kFZHHNli6l8R1AQjhqI7qgizh35wMryKSL8fe/Lbr/iuVxFlz
NQH3uqAbdLYNYVcC1Ogf5sptzv1uquw2vmkKgMwfF10MPWAaVzsC6XwSK1QPJ48TgrzCF6VRX479
kt02GA0iBrYz1kUAb44zA6f/soHk+uHY08mv46TWcsIZkYIh3zF1Csrtk6vJn8bpNti/G6ddFI5C
WU3aTrrgID6/g6qavUmVXL4tdRT8oTj4X39iF43DUgC/3w/6PC4UVGLlBjtUgHmj2H6tPDra/nCo
/o9PvlfNQZ4gp5k3Eqhqp/VlipcI6rCgOVdmS0kORfexqhJce379IjcGtyltg0FrSQChG/+EQHQw
p0p2FbcAwBEUAlpdAPr91VF/cTR6+79n0n98ib2ILqHQcm7owT1pOSTuKpoxvnSpwL0/l3MTHlIX
0JvH0b/XdYxn86pKAmA6wPZDr7v8LIbkWGsrTXYLe1zFUFWrrYskid0FmmvwglV07LBC90K6uUIp
koL+XVQsZZd+Xg1IxtWhcxxNdgs55H3UNElTnqK5ug9LmHB0/OCY75YxTDKasXN49LaxcymGi6nI
ofMh3WvoVpDKqlHo8qQr8pDEwQOsJ/4QpG/f7DfBZ6+hg6wQblm8Kk997eHZNI6uCGL67n9P9v96
+G6RljCMmFcaYLLDkOPc95ZlK5Dzl2NP363SUGgL84ugKhKA7h+gev0EXPUxOCzda+gkT2Qwk6kq
GqCuL5Nw7V04NMekqHQvowvWBfeGxlZFVdfDqVfpY5DY8XxsXHbLc6nDYRrh0HVyhlXLhRD/obda
HysqwtTt19iiOuGGhrXi1M7Ds266orbdsU18L6Vb1bJII5FINW6qsnZqw3xr4j9E3v+ajLv1OUOd
v6HDD4tohH8YVGN5z0EUPjbmuw12A6RnnF1foWvJwFlA9t0ApwtYRhx7/l5LJ8yKngsdCzRadRvJ
0qa0D92iq2N9kHSvppt4W7bJQMXJ+A3Xnq9QAfzhzf8p1f4mwuy1dDAYigCnkqqAyRudH+CcFaPB
SAK2+R6kpK6oYrHRLBlmE585qms+H5yOZyAse75ehkmEw3nr4ZD0zSQxmcGFp1VyqAJP2W6fbISj
G01heVcli73EpQPmN9DH7tXoXnhDPQHfX8OvgHqjoLJw79FSufxhXP9jOu8BP5OHjRqYVuN5TaIt
06G2eaIPxidGfl3jsZ54QId5PG8GiAbv1p+hhR/dobWyl90EG0wQSyD7zxKK+ZPwSuUhQfvWsafv
VyKkz2U1I5gmPfk+GvrOKHKspZLuFRPK4MTe9Ww6V6ENs6Un5bksIZ059OZ7SegSDBEgMO5WTrJO
XisaphNs7PTYno79gd1sb6vK8TRSyWmximO3XGs4mKmYR/THsT+w23ms09M2l/10njrVn03K/KkX
7NC1B91rQnF+iGlPzXSObhA6Hw/ABrDkkNgfLrG/Tvg+mWEH5/DweQLbuxnZkHUN/CKOjctu62Fq
ApphaqczqaM+pzqqYbDRfD/28N2E73QKM2JauvNMlMnSIEA34cLCY0nWXhEqIXwOWUDduYPMK+u0
lc9NQt3HQ+++F4Qy3/c04oM7BwJXcExvEoZH8bGB2QPoKuujDqoAdwbRlLy0ZtHfebglx3LyvRp0
i5Uf3IQQ2ba8yUE2B56IlX9C8NyW5G82zT3lC1YpA4FhYHrhZRPPL2oylbmsnDT2wmyPXfDQ+O/F
VOUMR86oRkCDbXIAKxx4tbbLdExMRfdiql6ViXMcT5eyrU4plFS56Na/jr36LpjpGl8AekZ77hd4
OVVmqE+jKY/Fmr2YSvQsdCaObzYv03wxChZnIAxvx4IN3WXQq8FxY7Penp3amks06g9bVMcHP+ku
km0KXqsdaj3nPlVJbpqlziFJPSb7x63+r3GyTdbEJWnZnwMDZ+F669uMwh7u2A5Id6GsZKyxUc37
M8ykVL7FcEhNgZY/tv3tNWBTtKLkbGV6qet2e7+F/fKxDts/sd5ve9xvVuxeBVZS76MJYuVzbCP0
o9xifE+iP9UI/+vpu7MuHG5Qrl6FuLAApfM5+NE17ftDC2mv/tIRgdUiHZILOF9lk80bBH5OLePn
Y4/frdOo6Wi3hVZc4t600LDWC1ePPGra9Nha3eO+erjvIXHqxUWMEbxXyX0THtz89uIvgLgGtxI8
2jCkwjc9RHtMkEj3yi8YKFSlSgZx2W7oI+0jOACr1B9LOMhumdZwN3Pb2rETKFx3re1fQn6MJghr
t18jQBhDVESNYScO+UPdBo+srV4PTZX/I/kCRkhZ2sL0mE8mKuDEhr5r5c304djzd+Woto8G+LN2
yYV1EQxkNzay+1ur3p94grfF+JsQsNdzVYHuWepLfjF9MN65cp7N85iEUp7Rp5qUV2ngKfzktvL/
43D9z+ngd3/0Vor/9xXOSsp2rocGJ4XFw4g7aio4PJ5hN7yFzUWVC0zih87AQSZr6YC9falX2ybX
rum5MhccrGsNW+RNz+tVlWtQfqPUQ3bXhpC06gwupJuH1Vxo++FR8yjtn2b4eEb8ugQM5reZ3RoZ
wL+OiorKzLoEds3o6MGng0/y0MlvvVVmijKmk8pc6aaBez6tONAn8rQOs7e5Xmm9vANCzs9VFmu4
7gDzvVbL2GaRmALOMrGC3a7vol5zsOkNapbOwIPPNhNecEy69kNPDHLHOqnTn6Y3+Md2Gth84pD7
0mzCCOl8nj2pim2dFg7z85CO7bcORdtkgktoFEYevoNcqi9txbT4YeQE7x00cm4dbIlB+6rXzzeR
3l2/mRWGiIBGjbn31RjBuxSNk+V5w5UNOQekXMa8TDHTRD5zv8bmROYtDh+idObiUsXTZtAXNnTr
HTD+bZ7wfuZPdThVKUzFqae5SviALCw16Sk1AOBmyyD50EK/WXdKwn8dR6wkR4UEdrl4s6G1SZYS
nqBvZK6KkiVIGxFLuJnu8bU6VWU2RWaXiShozGkyLfk6OMNPft2W5MdUbSu99LaL9fNmSco/qoEk
yTN1JaWPW6lSuC43G3pU2EX4KQIRYePJ1DyhQyPF9+qrqsfLyXC7mZOHoBojGzNht+m7ldPFfx9S
OBvKvJtRDL4m6EAS76MlWcY1b1oGJzGZwgl6zJqpaX2ALpYNoi0QdJJpns4rvmXXXUmMQhqcDnWb
qkxzLS5cqzbv+OKNxQF2Dcb5llnO40M4jfrsLWLUM+/kVMPxkcgWnutTR6ZLTeNxyeGyyGA96tXa
nFDjUOmX1NG2exDLhiKQisNpsTdPXRTzM5HGCUEG5RylNBcxzKJfI9iz8gsAK3p5aImPUNUOHdhq
G66Z3SzRuwUHbBiKG8UBWQub6TtpAvTM2Dlh/bskNlF6UuUY199RB0kbLBrDuvk01nE3PusplPw9
5FmDudRrgjYh0cEk/n6LA6IfI+Vhd161TTehY8YGHXsesGjVue3VSq493AuHTyqAfTicUZmWPM4S
w0T/HDqno++sLst0hZGqMLLwfp7j+9BWrPtce77GOZj3IbrRpaeRANo55s2P0nmpZaYHnX6HrfjQ
f0J3OQwmcbuEvQutEt36BFXfmOJ/7gL2o6vtvF0N6df1vd5CmCv2CivpR80wze+kJtuzE6G8hGRI
6zepneABH6ZVr94OWi3bi0ePBAlwEw1uQHq6kYj5dfSubX9q3Nyoh5oPdC26rm7KYiAisg/TIBKS
14wy8iXlhIm/Iq/LZ7SQB/e4Rtp+oDvEZLWP5UkCEBSclmqDJzdMHubtDvAg+rmBg7Q49Q06HV+T
VTXtcyTLKrr6rprWczCoerkTqw15kcCGNvwU8lKXb9UgZJ/3qwvARKxDAbNfYTiM/OZtjO3TGG4u
vFI4VzYf4KxRdm+mWCTqEirdJSe31DNiJzyErbpAPx3Zp0HM/EcDJkCbl6jS+DdqCS1CieoWf+Zx
56w8hbitmh90DcDxpZRTjw6VIJnle5WOgl1N3/c8c2Vg+XelBDwuZTtqV2dpG5UhzIEYXa4jnNLd
yXkSBicH3+Eoa5vN91+oE3iDE1xnI+AMF7xFFcjRZvUSjO25vSF5MgDtNv08eDSmnePe+q8kXD2H
4xlsYKscVhD8CekSXKqxhJO8bhQxOTce/ubrAH9GAI6MAfIso3rbqqt36JJ9v8KfzpaZGlyyIN5v
ve86WFNjm/YZKt7z+APu2zT+CI8Miw1Bg1Yj4GFcjbcP2bvJnmHiiJvOc+uJiTP0frZx0YhI6PM8
SxjxZhKux9uDX0aJCiZ8kLW4C0v4xl7QyaZg7AzjsyDbbFUF73isLTkpxqfgNIZzJE7Jum31Rwuj
6PpudpsXxWS6oDwNnpTrI4Xz3EsYjXX1DlVksuqsahonLqDGS3cvNE4wzyuqEOmF6Qr7nSvLeIDO
m6nl0ciw1nm32cjBjtwmAfoW7FhWHt1zsAZ9C19eg2aMljn3Ui1hQu46XBnXzx1Id9WQzSuDww24
4tngrYiuERWjexOPQ9B+I9WSNo+8oSPmWKtMo/6CD/2GmWCAbBvPnUyr+YJfttTn2Gg2fuB6VuX9
KKuaXtFEy5unyRKYYp0Rjhp+gpcRLf/egEoG03xUdXw3dpWU0DajiQlzBHbw9b2q3drf9bWh0AwT
aIjD89jD9TCb3dqSd/ib6cc5Um752gAaj550QVTH8gH4RRhjIz6V+VL2y7uacAe3edGj1yVuW4hV
zWzTIF/7ycHlzXZ+QQPJDFNmXCik6gWvG8dvFr/K6i5oCcPNUVXqYHpvzNa195Duqg1ZUbstP7Br
jK0GIxUOsa+3mxoa5lQNyfYE32VmRkTibS2vaY1PD9AshyPYo0dAHt7A/WK019Ap4e4Wx0V827kX
BSaAxDCOY+YEVnkIXp3cJpkPlYchOhVLIzI4jcH0OmEG8S3T1Nf2TeiidPi22bFndQar7iW+royG
yzPD7Fef63GBRwx+JO3KNxqlcf821RjE+43Udjm1dIrdHfZ/mABjcImZz35LEjisx9p1Gz6mlfNl
9jowH5JodeZlxpjN90MNBd6beq5UlcPMuRs/L31C4i+GJGtqMhDCwrbHSNFG/tWCmRq+gFrPxLcO
5BX9FU7NmuB8BSAizU1N6uTOJG5ckb+pMOVdNgTTiq2wWbB9INsDMpYH8ZycRkAauhWy0ST4Dqr8
yvIQm3p93aZBv08mzO+zDn3D82rZcP9ikpZ9igl0ETld07LOcRZlCUwKu2QqSJPEfM7oEprhuYfv
LlqOI+A7L/Cxb7onanofNBlHB9a3uhvccomjis1voja04O/inlW8Z2nr1WVu4JTzMhBFP6cjXF5O
IytRCkirwPHnte3L5BLa2pM3uH+i8PnVybg9RHU7dAiYDGsDsngI1dJCA6Jqn0rTiH7JU8bkywrl
S5DDO9rMb8fND2iIRt8r8TkwhqWGe3hU9W/0iBpTpoxshjNd0VfbXNCiFp3TkrbtyYYlwZeoVBM9
sam/Obny8Zb8pFD7KpmLdI7JyUxDGE2Z3pb1U502oCZlm0Hj3/sezW30oxx592jbCRlXrmQd5FEN
KtyaI7rPcObm1H0iE7AHd5L7Hvt9soRI0ykaeHuXrRRG6tcKrxC+Tl3rkpzEfDjpVU1toRcs9S9x
aP18IYluIjiTWCDPIlbR9EQbKDGzkUbbRWAz8i6zcVmPzxOkU6LNDTdJ86jHcn2TrjcD1M1u9GFM
Ux2eUzjYLNhGkXKc7MYQ9n0zB/KqeRu791NTRvPb1k5RjrL0QL6uTennvPSK3SFdg5GlRhcNPN1p
Zpda3SnXA6zB0FeNzZbm2+ZEn3UwQ+InZ0NyJ5EPfPImoQ8SKCX4VYt6GHMVES7BbO1J1nWs5vep
l+tfDN0/9RPB0jHFVo+beBoCYl9CD8QrjkDUPUqekg25U8Tsyxz0UJK7Jck52sifUEJHszb8RClo
5OjkfVptSj50PoA7OKm5zoxZ3MOsG/FGehD0TxrTOI+XyedEldUdY0w8Tlyu9zJamq+rnOt3gjY2
r0L+2sTWfIhr0YpMhv0I2cnUaD1kS1gJP2YS2e56WWHvtt7xmciPPFr6e1evqThhOvPcbNO2XFpb
x/cr5Ivsgw/S5J1sPFQLJ+LaJLgrTTL7Jisxc1O0ya8q/Kty5eo+xDHnazZXZkkh5Yxmv8J2GzyA
a7MuG7ApqY3WHs66wzASnGMq2tUnyecouJ8jhoZmtE/78N6qqBTPY7CM7jKjzz/8uPGG8FysbHYP
E+tj+RWZqxnOsSMBueurvmKP9TI38F+V7dxkPupt+pFOTR++GehE+zMwDWsLJMHI1RVu9aL5Eih4
Cdd5vFZxdQrHWsFwPK6Qigo3JVVuG+QoPitpQGmTrfE6VT+WNKbD47x08/YdplQe6ZByaYzZ3WBt
xX1Wo2GoPoOiU5LCpk1Vvy4Rzv7nrmXUXFyCuHPCiUYm1+EmvzsPiSH0DZpq6vgB+lkanSKxxOIa
oW1q+VmhP8C8mUaX9mG+Cjmr+3EYacgzAEVS3EhtNWnWVxyNE4JTMCSb28M4NiPigmoTHz31Bkvy
ncZh1X/RsRZXBr9tHJCNT75EI9XBV4M7LRyTly6GSyGK0CrH7ECylJXTjOg+2mk5zUba9BNHT7/7
mHrE9s/jOAhSn+JkCLBflW0czO+43+pFZgEhCc2cK63JRUkb8jxu6bL+ZGj3b/6yFbrZzmkNq7+3
a6MWAeBA3NkXeDzHejm3M+iuhagC0r1wrDJExJDaIUV4UkuCYqGCxXt1V9NQ+TuqlQ7NiW0WKUDW
cM4lMPAdzh/I+OohX+f+lovAxsX519pZK30htNT2YzMG3Xzp6sCJ6ziKKcYX24S3p4E0y/xVixi9
SFxpMX51Xg/zpZewvM+FnqKHapAlzwfcPcL8va6ZxCdJKjQDjqiy57afBySlAwdO5uO0gZILEMBQ
PnaSDIUvl/TtQMnqkB3E29a/WZumySz8NDM0hcmJwl8srbvL6tN4zSUsSKfrRkcc0JSYkmx0vgv6
zE3Oj69J5BP1c4a1SXredBiqE/e3fTWTIzwm7kqk2Y8V0FyYdTQy9L6s4Wn60Mu1+yRSDMKJOsei
Jgsr3DJ/HJutDpClrmFQLBvmdYE8IEruHbaA+pv3tCpwBIjElw6I80TlsZBh9bafY6WAhI4Mr6YM
kyymeYqouuI0F6BxbktUVD2ntQ+33GLBf9BRbM5NWfEWS62c7rsQFYwn1Cto/JK2C9f3frbiOyox
n5F6OMJhqcIhAe/gEUPetkSWX8GzqKuTNAiKVW31k3MhMrMNgBF/bZJU5f22wnAECvrwrkosbZ4G
R8fmyZbT+DD1fVd/g2ez+zsY9DielinAZ2RL8lFP7Ha5o1Ps7QvzHzlyCXeS24BcHbomt2SNT8wF
zcqCZ3XvJXIDyBZmmN2lC+q1iIQj6juufvYQ9MMiMb1VetD4bT9qJGMZiaFAv6KULsZHOqRD8EIT
iPggCkpaOV9nLqVr8FGmNRzR0V3W1XkJaVon5zrl1asc4A1/jtAoMPxcZqLnPFCoXH0F7gAOsjZO
R3ZuFVkJpmZF3tkK55FibesxIzUCaJ/Nk4WLnSST+pHGZiQfqZ/UnK9mjHDaSVgzL1k9p03wpaqi
8nt6S03u0gVd5h9W3v/tdOMY0l0xREhmDdPTnYAnSJoLbs3fXYwlm6Ww7MhhCxKycyNY+k/xT9MN
g7CmZ/AtS4ajDEzVLwtJfPK5l4FA/3ElSlQGA2FARhp7oDhOSEqMv4951/1omoVGiHNM1e1HkNpE
nROrPL2rHVv/wtFZbg+2IeXfRjWbiGHJvc7k0SjPhg9BGfL47wiWGfFfOFoqVEZqGT+KzmrEjlCt
OZHR4F+sKJMerUa4W2KSy/ClCjhHNRupR/gQewBFL2K2nJwW9/+o+5ImyW00y7/SpnNTDZJYCLNW
HUj6FvsemXmhRUaEuJMgQJAAf/08V2naSmmlqhmZzWFMOigVGR4e7nTw+966kXi38MUsaddb94hM
5JC+Ki2X+yCg5jUpRPgMun3eDmMBv8UxGLEYu653y47TBIG+W7OoV7zm7eUQtpC18Qad2Mg4oeNp
rKScMqaGfk1VULRf4NR16cTgk1GKrvxSOxXcCb66ay63KtmPBSJGdh3z7jChVuIQqo6cKHqMceYN
sXmpZMn8rSpHuIeXBXk/KZtsMT+uFhGv35DBgeXM+JVWXwANxyLli8frEK1Ng2NBxmE8YuIQ8B8n
ZH6uHMeQGANKKEtMGQ0LEA8rtiDXkMGzHUtK4CYrGs/RUyL0Vh8iRdQL4teb9iFKRpjAHRoYHmo8
kTSul1DZDMe2n9dUAxuLb1VbCZrFCk/neRyLddw3U9FUWUSFWr+fta6ncej6/tIJsXX4GW1gHtqQ
rt1tXIoVA5uv432SqGA8QkIp1ntA0cMOx8Qw7DVjjcmjaulCyOXQ3LobV4JDBDkwF3gvAEcUio0K
6/YK0fLi/fxggqpZsoHZsLsIgqXfDogf2z4ChtqktEM15GW5jQ4fnyLBy9GuZNdKarNpmteLeAwx
cFb1cOlVxR6gXp7gEEC+I3AOBDXEVBRfgg1y8n0Ch4x/Bs7kFtyIDAk/5kSXkUAHTrsBHjCdVcNp
AENRf6u2yfQZ3ikY3pO2wmSOE7Nb+qyaCoX8coQXyWtEpCUikytX9uRGOqGgHr3Z6C4tFp7UacAQ
e7hfZXz+EAbNUpZoV5ywMeHwafNmM3I9zTBlyDQa3dzhYwy+69Pi3lmclJ5JmS9I1CZQYvYRDV9G
igktX1apq0zQhcPrM3PfvtQcSS85Qd58/aUDoEHTfrBV9UzchtOjDAIeXnAR9izrZdRF+Qg0bMnG
YQG0lcKX58q8gY+L3FI16eQehSD1knqkQKud9QUbUx9tFBOMVOH8Hmi0KqQMVg95jy6bRRwqr1bx
zvFLra8GAyq/YibsREY70UZ3XbkShCYrLAVVbfr+wcPA3+6jxpDepwxm+wUAZjVsJRb1GZADLmqH
oRC95sWEMmppiutqJPV2Cilxw7VUwGlTruIVeemq0p+ExXV1E23FAClIQdrhaJMliO5gURMcnykd
byv4n8GrPfobV72HuEj1GVgVZr8Pa28CFCRuc3IKOsApX0jXn98hjsUnD7VUDXx/WMD6Gwv8sM3g
r5iNTZE5FEaXhEcMyyWbg+FYQ2exfF8jL01ecF7MhxXn9ZprplS76+I4mfIIjTRzm06699Ue22An
LwuK+DWIL7tzPRja0sa8qWrpLoqZiCSDT6SULEcSA8EHqi568NmgQsfygi8u3jCzzIoeARKMYOsn
zHYpcNiwTeHN25p8wmXQ7amz4fQpatZ2AXaHkM4xmugRYvKravsOfq4WDNmMm2mPOZFmQaflgUcq
8u7UhkmcvCAzup+vVqz2TuEXr2lDMYO4eLxlou7ca4DfRgZpFc7xaPfnNGsspEuyLfTGnjfoyyIY
W4fhC3pZBEz5oixvfR8aLCvaxhwfcNoCsxIZuBaGbZWYXg7vtcd2DTmVFz351PMSTBgGBMPCNM6w
2y5oqxn1hZGjTW4ZDo8So2LSbB9tBTbiW9OsY7unJR2CFa+uigeUJXNd31OM+/gsR1JQtlcYjabP
SlG2JukcSqQ1r4La5CkEPlej/gX4//xdamrbFxXYMbgbSxA+98t5UUVigU+6KBPLhFxj2OaU7k5V
D94LFwlV8V4LLD58hx5FO13ClFqyNdvAIY3YdGstapETxufkclVgkq4wXSf8CmMRNY9D17T6QpTx
Op4CizLzbzEhBcn4eWbb27EPbNqJaA2uRoKAp/vAGlvjjEMMfSYxGQ87b/tE39RmhtGlZ0QsT1sH
FVmWEAOSp467AREzugzm94QbVTzFq8HhP6DfoFm2i2BDvzZGVuQadqdVlbHHPIUO6iwUbrZHPw4y
Pmqg7Ouha/lGXoAqMnZRt2ACM0V6CAB2sG4SneS4NjdgW2dELdhPOopsFvO+CVJ85q65Mp6Ca2SI
x9iTENLqaV8HIfgePoDi8WmHirUk9ZNTLNeVYPQ4Oyu3o6IuIAMi3aLVSmB6JbrSRivD5oqF2pgX
ZpCq/ilKavsrDLa12HessvJxXUHN5F2ZNCXciRCn3tXD0PHLouyG9nFN8MJc+ihpzQWxqNS5XvBc
I1SO+43dNVb05YVrtGyfsejVxZIRi2l5ypsx6QFbU2S01SSz+DCrIEP2B/cqBw8oErlvIQ0+RxiL
r0gwJCbMpEQAZr/rQQUZe8IApvHCzqJR+g736QHAM8Q4oNIwu0n/GONlh7lKsqrdnsGeFG6/4JO8
l9smrrBE8+AyCgqJwY4TpNdFZxoviQ6k4Vwd2kZM7GrrRphcw8iP89e1thKhFa1FdMh+LpXzVRqu
nAlwnBFEV2QyyZJxABvmW7/QJLobEbtgov056jUEpuEY2tcTvcmlyWS/rm3ue31ulJsNv2G6oMOJ
wly+HqdB2TgvF6+Gq8ggpwYQKQHfOnot7L4GiB+mgQnDYA+Ocq7zLikl1k41GYUJKe7r+M0J1Lxf
FlvZuAdEMtAZ2HtV6O0jHlhcflftSLoTiWF1PBGgvtM1DNp6fuoQSY3ZZmDUXYU0MP5XP7FGXXlf
BgYAn4uSbJMYR1LgyxbcSm0MxH7TTK8t6c2azR7FoSeNp9DkdouiNoM2noMzp/SsaFySvYSY9KZb
0Az8TNa2NNd63sLhQqD2bju/26KA10HOHtXtRtDmO2C+IM4blgTKIKwV+0xmBlzt/Q6TdYsbJA7S
85q/arXeykAvceaDINT4sCSThl1CsfMrKBXgKkwSmslbI5YugLO7FvWHPd8fP4SFUx3xBqw8TaP0
YUpw3nWPsdbRjM9eyfppTlViYPQHxISiKFGRmuRxxALIa+JyKm6iSszrHscoshCXbqiXz7lxyl2N
m+jZq3aWUywvU2MvvBebe01Er5bbc4ZjfDS9LdIeYTdTimm0PIPlyi2454LAvEu8l+LCVHAa3IAo
6ZHBgNl4A7Q1tUCtGIorKZvfYFydkhTGomjdOa5aoHZ6qh4gkwgxES0oZX5ooGzEfREdG8hulEtS
yBehiIS4dyDgs5bDUOhpnNMafj+ajgl0BHEG7lvbTwBJJcBbADZkfgNasdVBymeMr03KcMrOwBC7
EW6PFCH12Dv3DvZQlAMNjvLqKxzW3urUriixmQ79MrO6ydYJ+eGYQwl3LMx1XEHKkf+n0TPieQOW
HMBUxXNGoAgyaZDMU5EhKDl+jvHdweWyVqU6yeqM/ZZYv506n5m0uB0jo3dACzYLXWtQBKf/LKwj
zhvaHRHU7VxOeDPadPMVuwVhNdicFzB//zUF04/lc9zToR8H0+2I/NLQJ778NT3zj4FCrIsX0DV4
3Lh+SABa1OwvWmh+LJ0bEXgoi1qIPW6TBCCSXMi1wWltjv9avfQngVWgDP6o9AEUFs1QpIGZCPD5
m6qxni/7NRgRI2i0AuAULQ1qAYScojtnAN1iwWoCko2Bw/v0r5/EWVX0z9RGPwjLSlA0rg602I9o
M+3yGj6Ca4gHpwzzGuhHcHHJvwm/+DMx1Q86Mz0ZXGrQFO8RCDCJx9mPhc1ViTk3X3FnQjopEkk6
TKXOD//mFf4TkeWP6UQN9GG4m0RszxN0csyIndlNwJr/zS/0Z4/+g/pModHPiEoyKEf6760OX9ZE
FX9NOEt+kIdiTJ96VRZs71H7kVban2rbxX/xwX9QmM1hOA+j5WwPDHoHIrVOixDI47++oP7sVflB
Hlq4pZ6ZrPm+JIHBPX0p0rDC3f+vPfr5p/6DOC5qVQx1EF6XaOuRzTtLtExu4+O/fvA/uUJJ/McH
5zrsV+UaXC6VkNGHAaa0ZoT7CL1CSdSrVFmosY/wlTD1l+r54h8TYaqkXAVihNgedajslU7a3DQh
4NV//Qv9drj+k0/3j3kwovExYKGS7vtEVkCg5eBXkCv459OHM3+hmLzxfwYaDvxQq+ap2eqnEFca
OxamthV2lbLaoZ3xwy0xqpvTWWAk+/uz+68/9Pqav/03/vw+Kiz7ZTX/8Me/PY09/v3v8/f8z9/5
43f87fA53rz1n+bHv/SH78Hj/v5z87f57Q9/2GEun/29/dT+4dPYbv7t8cvP8fw3/0+/+B+fvz3K
k1efv/z09tHXQ46lR9fv80+/f+n08ctPyB48q67/6x9/wu9fPv8Kv/x0/Va96TdTzfrtn3zf55uZ
f/kpIT9LEklCID6A4UckOJrXz/NXRPQzZ2EITQMUjBIwBX7WgObT6pefouhnEuF/JEkcIYmGnusl
zGjPXwrZzzxkTEIBFUU8xvbz0/9+fnd/v1b+/qbgFfn9z/8x2P5urIfZ4LsJi/5wy8Bjw65PRQid
XMKRI/pj8gEqghIH/s7t/AwDy5GfeTi3nIVyW0V/LVtk8WVzL2ScO7lsOk3KZYIiqCThpQxEUKNl
rEnSdjBs/NJD/SJvFkvOf2Mw0Xs88ZDk9RafhKPY2zH8InqiE6WukBHcdOqeQeHzGlBWl4/EQ2dx
j8yWzoBVQFJFhti4dQGOygvsUd2qNWAQJbGUI6u6BVQKXQ5o6QhYrYx6KJM8YhxENrKhvBvmMvwV
edUUtBoS0LOptfI0tVPwELVVEN3Ydlv6HMI9CsKwDqf29jxfX8FMDn0p6wD/h4NeL0BsQPCm2bgU
NwUS2wG6JUAaIfyIvmAn9uFhDYiz6SSi88hXYDt1YKNBnztNmyu6xKHJhsRUfRa1rtT5uBiKrLey
qSB5AOe917giSI7TSWzZujR1cwtukSCpw0XPHDzjVUBiX+437F7dMcBJ014Ag7aQHpyVBCkXFLyC
B5BsICFO6H00h63Huk0tgEZW5XOTlJBNltGtQBDCVaiTCnRoqb6iA/WdYTdpUoTBjBY7ydnpC3J6
TnFbSVJJu/oVj4Z7wFLquwKbwHhincJcvkGcBg8UKelDixSE8nooi7XIEJQC9ROUabE5DX4L3H4d
+QhqkhO2XVNA0sFFKULFM7JuNDhiVWledbKt9oBi8GK5LrTzMmN1baI8wR3/bnAuXDOgh2a4AgAO
4TM443lIx0WFRzZDHJQZX4NSJbSt1GXresRdIpzLovd+WIdj5JJ5zgGiR+Ou3CL894wqBQ8ZRFUX
e9+2C5ZEPxq/Aw0dhbsK5uYopdh9nwwi4btj42L6XWEBfO4BN2a81PpjNEXoLnDVgXUlfeHBWOl5
djkLR2i/NLGnsjMzRsFNbDojAeJVMOAX/KJpSPxdydC6YxVC57SrXGmWHCwu3jGPVK4LwJdqSWvk
AlzhuKrudS3uxNDyZ2MQ6prNxRScSoRwQP2wCpIa0NqvydCED4GtzLdNen4pWXtcxgj7MOQNSfRY
aPCDcE3WM+qjdCl4GpJ2nDJLlH+sh3j7gH12u17OupEM+r4qvNW2FFAqjC02rWjY1HLcSNlfy0bq
+ejoiPhn0iz91znYplvZCDLlgEQBaxQIfxgzBFXQp8kDQEtJ1KNEIgkSOBXbdmBXdEYgGOZFkOXA
/IIyvLRY11xqyp5eaxVCP7tWo+8gcO/rb1BvRW6HzRlXe1gGQJoUcJh8nCpglgkpXoINgtNNQEbe
u3H4AMICCAyg/74sqHuVCz52k2kScQiBrn71XYnPjTor8kp0mWWU9uPlQLrlyaAopUo73+Es6ICz
1pTGdxoMtE5R/doc7TL2O6RhQ9qAbP6oP04InnwO+9Zcgrwpv7E2quRum5Ezct+6GpZMEVdLcQBy
v+5tVFbfQRtNPm1gWVtSCHAtLo9ueqqBB53cJmgNmHsABVjxFeEnheDdh2KVvoiBpsQZKOvtxYbl
8D4t4yIhk4pdecDQmqi8b0WZiW5ddnQp1xtI2AMkFkdxky7l2K2PCjlCv6mxHc0hokU0qZb9BOg/
KtTFAh2sPTiPrQYTGFFN3saUt9lW4FrN0EFkXhGrLG6HJRozKergGzS4YnhOGhOQfEU4NXRBrSQ5
wFzkyQncBpP3PvAxMLotPgAKxOVZvWKZJt9n20FIFY3Njtat3ktbTXllEh7gCO/jfAxr/EhErk1H
TkHIYMxB7mEOtfQMN4iXw9PobEzRDam23UKn4qH3AXkqfYtXlEerWHYDZGXrrqNNc09sIYCWkWiB
OgsIYXBJodJ74ws4jmOJTPb2msbFliUljhzg1nG/UxEQM6ThaXtX1G0JtBfHXL6ULpxxXtRI90NZ
A65EiAyBrYB6Xp+l36YN51VYF6nBK18jEYHy+84BbMs6P/RTBn+xUjn3C55IxCqQb6idwA1gEwDn
KwWkOasCTBCnOolQ1iv7mu8GnGYSqGrtLtu5JkdczFtwskNYnpwbVZ2BZZHmGAXotNjPE5NHQMP1
B3dyeh2sHu+DZa6hHJzq7b1FWadOR8FgNXCNTcYcP2Lus8U24E4G2rZHwzoJ4QAYOVgE+BbRNAEi
clcMkU2BYPXNnWk3jwFBx/EbIuZxo0uGQT35MTHXIwFbmPMW3YYA7HG0SrTHyHQRZX/j+Fg/xEm1
vKx+lBetL2WMLTnYHpqewFRVJoAar1u5+adlIwnyx5oWtyPoIiZ1dNwmn2Kl/tjHZXgDORkopzFY
xy6Fi2Gd0gFwCRqOF5GkYe2q4pb6xvkjtY2Sdz7hy5IGoJCug1jLr5x5dt9EiOiJm9ph5egfbC9r
aAe3ucqLIayRtQZmrSiX4NjUHUkT6743qgNKp3BmRsS08TdAn0mXldGWvM61jX81CntRRd341gYb
SMsRndcn4mBVxxkDLA7Bzo+eNhaYmgW27BG3mC0uqh+CaRAX4SRIdFjigUO0yKu86xqdwvhT1tkE
80Bqt1J2KVqXwSZMDDHOogAIP22FTkkZ8QfaBX37DQRLecWXds34WG1H1xNg30oigK9SaxxmZyHa
oSlHcBlJGM0oSynXy6BaSwg++TrvBlF7sQubWtwsU6Dfl46WH2C6q6+V8U9BiBsr1AslrUFp6HFf
O0VzWCjIhtFDQOmqcRZpTF5btJzoMPPvU1ApgoiuLoKerGlOIfXsEOkiuadY94D01uFTx2P1jYWV
GW/QpLb8yhMxrJgN2qi/5XOlu7xq1oDvWbS1wDCAie5gBRrD40hb972MSvmxwuC2vICkHuoDH8Px
Y2Ix0fdrAZvM2dAv5AXtQWFd1TLEy1hCKehTihiEj7jsIP6UFFT0qSAdhVQe4xxohXDs5cUwxMvj
REBU5TWkuo+rNGN8Gh3vtweooB4A/7XjBdNoOExjufp7L2IE4sRbdR0ChDnWDO1PWeX0jA4u3LJm
BForELOVG7NoKvAxwSAO7fimq1OflMnF0AT1sZBrfEsoonoBk67jbnbOZpAWdDtJUECUtphBPjSN
3TMbRLVDGUCUC+iZMEWPyUsQDIWHD4Ak8ykBczG8+QGqygMOWvnk64Z+WEgtVVpSPdxC+zK9WAdl
bxNDBX8Rt767MtEougwGgfA1IiCVOWa1GzOz8iC7pYRhsde8P7CeU0B/kYtT55WakJmg6DtukF2O
W1bSov4giF/nwrxFeiqqDFrADsAp9n2witP0GtZMBXCPVQI6Sph+1yyo/fAylbZ8AjOXIMWWQzZH
MC8+rlPnWIIreYq+bFCSZHICJ/4+ow4IFZ4Up3EBcQ5m8rfQbTyzvnps2ig8BVGMk392LJYXE8Jh
+ZFs4bJdtWHX+n3fQXl7U49LDAfPGogmDaiN62OkDN/2+K9e4MwTC7JPwiEp9/Vk1d4ggsdd2i2Z
n6D8G1iGFMnosW4gN8ohbC8h+G/Vg/amfMC1vx23ZYOBo01wm0dzr7V3NejRDNSOukQYWbyPAkwF
dUc/KeeRAcGpwYLrpGEn0xhfvQIBhyhIRqqAnlBBzZZuMYGOED7BO7q6HIn0KnXW1ruJV+6C9HLc
AWYGWWugm7NrDVLUbBDuV53QMo0rxm4mJ+eHFRGJqFCJ6i8Kr+1pGJxuQbyh2fVYBzLgObwNdb0j
vIrbjC5B8LWaYbq4aAIFHauNe/G8xgsn+dDQEHJzvYzvpEsECl9wo70Bv4nlbBRnp6BBDcxj7V3R
7cdaNngL2fYVlDzcKXgWPG8gYQwh7O6hdqGxMgcaa/dtisqZYB1r6W1dxeQJAy5OWPQVYli3uroo
4tF99sXk96hF6k46LLb6uMiRXmNpSApo6ZEu04wqRnMT1pkcQ8YmMsgKrc621rlvLvKFSiNA6RHe
xWLXd4ASM3j3tjkVbdw2O3yYoXVaYbz8jo8vvzLQXAG7Cwnu7gsdymNRVZ3Kl6rbr2SCyhJaiP42
guUCflJ0DIVgnyuYTbERE3BcddBgq8J6wzMsuRvSuNvoG5txA8u22WJ/hUSOlpAcdhAcF5C1+Wdd
mJAegxldJfsawvIPpLiy0wKxydcezQ65qZg+tgrH/BbFGt5Mz3HWwGOw0wMEJD1kQE0K+wH8f95Z
CLr6iJtvNJiK21Is7MBDXb3oOumSHOLOqt0XTcfvNz2P5mIao4LkRha8gB9tQId472QDZqNE7w50
yphrIM5wt4kCFJWBm5MftYyTx9iUz5BO6S5lDZcpAj56XLqb2MeiJmgkJ8mFNzCdAKscTlCEqjsQ
5CRXmnNYhTzruh2SZc2Dhoc1jeE/g2R5qM17M1d83stIzvooZmiPsLLPHyjJWm6dbqD6R+GhaFM2
liVu0s6TNzqvJO/wPvwKFdb2sFS4wWMa5VfUVvy+USV0MFWxXkM9fFkKyWYoNYB3QU63IH6dvxuL
gQft0iKto2G9hB3xsY4mcjBNh4l34fHrtlUfuNwcXuOapZbXHx201idTxH3e1Qle7wYTsgv5De0D
ddEzgye0jOoO/DJuoHCMfcNMgZBhHH78kbZvJGIMASsFw6A/xDmiVoZdSEd2ageiHhGATg7wigK+
lFU+jiY+hPUgPmwXhMeCaAo7W3vchgT+Hm7bJkfyxrBveh0/6jD0l2JLyFmtMFxCvrm+Wa2KnBZt
30Ni7Yk7wqEAZT0OyfV9sxz5vUMbTpkpWHIxtxOGLvgPmw5VlcH0xlqe+N3GwRx7G+sj2JVw1/JY
HBqoMY+q8Fj3F9XeQQXrbzijTKds7WDXAfIo02Sdt0/fGJBqLSbIDGF7yZOHWv3KRwr0vhkoduIu
yVbVkjzCJP/ZBU4f9Dl3AjeTLxNo8TDdRmavDcchOoPrajKgyaw49KMsj8grP0xd0h4G+FPSMFYA
P1qu5meMuyh467xRmftt53CqzCfD2l+TuJInpsftYfXN9jXsSv4wjPAjQ5WFYO8pot6kA4i4DK3D
qKBrqgMbIYCISlR0dSG/tbCF4hdyMENFDNTyIYKVbB/bschK8JFXS4f91Ao6fYED9hLWH3idCBPs
AfrM+Tj12t1DrQngiFTop22H9svUxeRLQXqVd1brmzWGBYUOPtqrc3JrZ5DfBLAXpT2e3aH6ju8g
uakvFIlS2DDtMXbiBlG1a0YnQS89i0IMUnLLkdQ07YZoZtiRl/pKmzLYLbgZ77kkGO9Q8nSFg6rZ
4SOTvA7BhASEUoNEGmLYBKKwfPJISF0ONVncEyhJVFyaccb1Ae32bVKKhKdlw2E87YJ1hxPXp2M8
dHs/l9PFBiFMdOnCRs07oGknX1Tma9Ak5IkhZyjArrKZ5w0ZzZCDtvHrhLTEg+hbgnd1I0fF8f7r
oZx3wnRNeTG5FWPIWq35whjDnLO14rsbujce4BdxYwi8YN76T2gpiwPOh/Fhglse41AR3HTQ/e5o
sSIqGDdWG/ZDXnYVuuIY5AtwR7qHauzEjWKQVaUz1oE5lRXWm7RYWX2JPLfhJCBh+SRzfAeB6JoZ
F2wYyAp/x6nnOxfMaAZEHQqMTQvwowA1LzDmnLjbgE35ceMvPOrZVwY3EjEV7iSlrS/FNKuDx76x
gxNrqG8Kx/z3re7i57Z15NdVoyTPQlt7Z6HqbDjb5hsV+Ha9rhZVYaYOqmO/de8TCyOzC2Ljjhi9
/a9V0vR3rWHRcVqWaadJD2ydIEmPWj/slwSMfOoR/YxJamNlhHFYoAexbeptzRIsLfdQUEDmw4YQ
N73/N4TBdf0Oo/n46/wjY/AHkuH/I1ohEtE5FfDPaYWHtwbUQfU2/COp8Pt3/Z1UEMnPkeBCAoWK
mfwtR/jvnAKXP0PSLSLOAOX/huz/D6cQk5/DEOV7mHhBLUTxOfbwd04hin/GagHMAD55koAjYP83
nALc2z9QCoimkQJIj5BSxPjY/8ARAxJwwRDMZk/gKjsXbDioNaOOwQIKZR4/YbAGcm3OLMNBNg2A
+wkB9EPeBy2SOTQk7bitl8llhPIVqDNdfMUn2dZZ7yGmyyDWVBskc2yYssb2kb2Svdtb0cQLDPEC
AlAAFRCXohhvQ8QVC9bM1rSAdXYFgVD3Az9V0ii9s7ZH+yr3Tft1q51bgRMj6HSXQIyHJIqxB1RG
hqK8cnC7fweZjsAsIdeDW2Ryt7UQqqEQNNhhymlxErfjTk22fVhgKHpfYOPGCgbN+TPpCv69b+fh
S2TLUmc+ghsk7RmmyH1JTfmxENG8dkkPwHYCXAWv9CpaKIaX3j0aQuwB44COroiY7Ffvce+GtcJ9
jRMkG6Qr5oOb2htN8n4IG+Bgw4x5t40iUArdHED2z5tyQnpQD6gIweIhJEYltDe3vQblkfrQyq8K
QunyjaAyrEnrEcH/O7htzvgkxa2H05AhhwEWy3ReqxBqXDkEF8bE3YwHXeyWB7glxJfJ4g1aeIZx
DE8jmJMMQK99tXZuuhSwu8Ev0HZUpcTpfj81Q/MdJov2akMAwR1ysOhHFYbuGTcSkBlQF0NZs7pp
uFDAg8YUgnS3K9B//NIbFDQsWzLCIMesKBFIMgEQIptlL5Ut55dpUjApTpusJfB3Oj6EvGymHZ6B
e1nWubsb1FTdt/CG6z2scvJY1bM5wONbfmlKJxg0oKwWCYZP6+I8EXZ7hXJq0RccdCtU47ULwr0N
kOpwDOjSvDGzQNIP93oZX4YCm1zKNEGPkg8hse8JwQozLY3eoTHEqxR+7GnJ1GjmIp29wFIifWJe
LOcgf2y3uq8NpJ9XTS0lPOsSbpndMhc90nYk8mQy03KIwkMN1P6w9qOeDsXanF11E6yZOYGu9ACf
qb0yPY3urVmT57ZBbYBsK/zUYIDMOpMQ0d8VzRx3DxDEjynAgPhYTzy+C3HXv3QLqfShw47bp2GY
DF+BAbaXQkBolIej5u+YRUUeDn0S7KHSnS/qwnMASS5GnAkYl50cRv5Vlk2YpH0IWi0bbVCqHB4q
uUL3gsxmlDLoUwLpYrMfdYVskpHYOVu3IPYwif4v9s5kyXEj7bJPBBkmBxxbcA4ygjFPG1hkRoZj
hmMenv4/VEnVUlaVZNWLtm6z3tSiTJEkQdDhfr97z+3UPUItciR4h+DV5Cj7AjVJfvMG6R79cWD2
Yxr849TvckKt5Es/cJBZ4ceHYd1Z7ocv0NTPylWVx+FuBONB2rs/1+WCsZj2dfeqGVxiwgsOvXTr
NLp/FVXcfotThSE1J3Kd7xrWgXRrZ0vv7LPZxoGmPBAqYWQOTs8hLfPjY63VKFZV4rNhjqnQGYgW
B5pdKo5ec5NkxPtCjpbjNTgX11rjnG46AsIWR/oqIicMjaSbmZtecNmh5oYlz20k6IikTvZ2EOef
c91b2zRQzqnkF07vJruF75yXqht0N7GbTHMhXcLxI7Qjx/3ecG4huut77hE9JGluVF8N78aCNTAt
3XbFATY4SStVT9xR7LWLgLuybJZqy8Nkfsv6Ob+plTTHVcNsw8d7p+ydwGMSsLscvqeNO+18RTvn
HM/MQuIpm9Z9avXtEV/f4J1U7i0PLDaieMwCGX3I1JA3CHUlL+DXeLKVzl4TJrQ9ESXpI7PkhfFS
Mzy9yYbA/OrHGCOcTHFnhDUoaz/k930yTbv67Jw6cFjbE5ujpMXq+IzRNyUoahaOsQX2OPs7l6hs
s2Gaa7arrlwc+7rx527v48p4lJFF5sQaEQCLnl+KC0693LSk3o6OSN5VZxV7J0/wRdi6/8inXj/0
I63JWFPNkG2h8YC5swRuyn56WIF64cSJNGuTg1iGDxFMjrdPJqe8DTLSx6Da5gFpvRMHP6+X1w5o
jt5YCLAbS1ONtW+izk0eTLeYBP9tlDzXaE9m2Mcy3wY87g/ZZJM34vSqWY5G8ih9pP1zhaHj/ZKC
ubVnq9o69dQ/52qSyW0RdwULiq2EFzpYnN9Twk7MBLzJWfWjZjLQewwbkqaS+M7rYAK6RI7uURn9
8DX5iV2sRVHUyNsuSaOubUmSRKnqV65RVB0AgEgMJJZ9UoMDLuZQDLMk9btEt3gqF3PjJ8jma4mr
PEOas7yXlugWD24gZ+YC0cMuAlJdQUQINvAnPMk2Ke9+iB+r4jKPs+Sw0ZEUV1HW9W/4y8YoVOA8
4pAB3ZKTpO8dA7a2X54uNcPnrvbu+9yf1oBvXio18MNUl9FZ2iE+JSI6JggIZTi17ucUp+ZBxYHk
ZIZc2Q16Xrtz8p7hDwmj2v8hpuRbp1yDI3VeAQJRRb/q24TznFCT+9JlxAc2lWYlpuepDQjyVe7o
HFyQJNhwXfSmA3hRVFthEEtf0UYuBs4Ts1Nz9sv7ZTs1spnCKZafVVVXSOlWZz3HWhpLqE3qi/Zj
lsvpZuH2+SQgQnp1HNjquHFedGsTgZyRKfXiEE3SfQYuYGMPVIT0cT4c+6mTawwnfrvOnSQ9AEYy
NzGxq/tMWPlWDBGyLEeq7wVhxC+ZRN1bLh3ilsvcfjNqkmXZ4rnJeiT/SXZFRN4N0RgvLIOx5FTP
jJ/5dsP0mYhtZRhPbpzkJCXBgVUrmfV1uSZaNCw3tcQCuaElEyRVodN4pnCHuCtTcTXRTm44NzUC
LOCOidKsTWX1zqvtx1l6CIjV/pB1ZIcFTA/uHanzQ1Ew+FuxIgyIR5Mpz8uScwRZyia4HhcdnMzO
nudVZ+FrKnTrIMU3BqezIe6+abvDdcXUeH43bdrucGWjoq16QyLv9SqCMlt6VpGEndmzD1VevuyK
WUTTOuMqX+ONwG7dZ85l4DN5V1nRRCttV4yqKoTaZzZRCyHTwLK/t/XcvPZkTq5y9LZ4XdqSMzIP
pelGNQHiVx40prHyLYGVHehCeu59zlAh6f1urT1io2sr6xrvNCikI9FYEpGNxW47jjjmL9aBOuex
avJ6ds54XuT8TFdTICX6HmrdGCzVMyUAvr8SMqkO0vB9cFF1n+45q5FFQehiOKbsZt70Cf/kKan8
OTmjmKrrKW0bTN/IOh/CC+o7WxfefdQ2vkbH9bomVMPCtKDobe4TZo18Zifvze3QpuuGmMF66GKA
ONRFNXeC/Mqxjy46NmUjSxyyjAvCtuyKWTIIgSEXlFm9kbErixcl0uqH3RSMwCCnsFwoLC/NBlfP
oqm27PIPNgrR/TxMszpJrVuTJq5uXvjZBKrYZEXilwQ/UjKZLNBzB4oq7p4zaLnDxWXSnftqjo5l
P+D/oA3yR9EL636EotOuLR3kd/EyGU+oecGzDd1lZw9B8KN3BvMJZM14lEIYb7MZcQSOoLLcjVXa
v7H+sl1w6852V4Vs011Ruow5RyaYB/j580uVzAw5ep4xLx5enI6RtYtOSQI3zXYVKRNO22Ah2pWi
LS5np2xmZHiNnF1Mm2BI3yPEFiTxBmTnaoidA+4XL9/WZoYTy4t5uoVuHNfzLnJilVwtnZcdRe/O
9aF3LdgHSZrTddcHefA1lEPxvW3oqbxMHEt703KWenbTGZa7F49TY+1M/MnGirs3dq/ItTQDa1aq
061AIBnINpVVYHxUTevvZ7AGl3ExVQ/pIS4ZlE4rPFN6WeNcq+QrIowl70XFvmRHmN3G7pHRn4Gv
I+o/RImnY8ZVsR0hcTGOyUHK2W5FsL10vYPD74kbczFkcULghdHCaH9wbhat2LA6MOzIKItHrBn1
cpVFM66KS73FLXiYpUTRg2pnn5jcGdEuLsY+B2quwHibTEGclVMMAyeVvBTNjF8rruv6Ol4qtkca
dBgYS0sX7k2Xgsy5ElY7xGc5+r13pm4lGvdpm3QY4ER5R7y1Nk5SsCdB+TJtxPt6Fs62nZY4OQhG
pulrQr6r2JNtmeetzkiSvoMqMj8ChkNeqGfy9e9oyWUU+pOyfDZJnRMpvvfRRrgf2pZtZsOcfkUC
B/AoerxtvmP2bLtV0zUjUdZI2+uImWJw4vFdj/tMWv2VS1Cu2dgEKveg6bNdp5h3sQ30poe4pEr6
MCdeam7jRjsSW2iv0uvKJe29Wgqr6jZdZrdbxrQDrDE1ejvIx0GE1QSDxVan8AtWQRn50VVZ93Nt
hziHzDnkyVBkG1Kjefs2ZWy3dT3NxXWOTdFfQWMTzHaZJ0t9VZrlHOwjBgRz2AkaO595SHntwZ26
km2OOY6nYXQkWYokaYfiiawpMRiL33B1p/qOwklPX8bXdZRwtGu94Tatg+ANGIdwQ9LKGngRH4eh
ZJPMy95S0h+OseEuOZwe4bvhYvjd1mcEiZ1DNsYxKbK3IDUiduSWVrdxpnkmupF+N5wpYDhgLtCq
1D04GrNfN0nWcvMEYw6rzxlSsDqejtdJRFzP7goeU2VsRF+IeYZ9sPyUkxESA+6OLo/n77PCJHFo
R0uxYTUHBir10D8QtWRC6Snn4gGZi8Pg1IZLfiO/7wFFUIkHpu6oJn6x7FoismMR3AKPjK4avrW+
7HN27xJzSkXM32fgxLlmn7QNM6UWX/BzqxzF9yEXIrB5oqwziMfcvqbeY1Br/pqosFsOkOXqtAow
z4G8slawdqbdpBgk1Cz9CIDI/E8MnjgxZeTNPgrDKw8GOibALZ88kM7bixF0sbwwV4IJ/VII5yxy
5dzXSeVefMfFIbVnc/nmWFwOb/SaI/dl98iVD/YurAr+vvKtCixWe9BmOX2o1lTP85x0kOhUR99o
atlXWCaBZuJotla9tPI3lQ2+XmVYL8yVX1nARsZBaGaQNQ1mN0Hf16xLjiyCrcEHY5icBUfyOzMG
mKxCWyplNFLmw2F/3TYRtCTSOTEGTexGw3rsZcSKXYN1+FWy+82W/Cer7T+tzv8bduj/qG7+X+iH
xm6F0vefdcswwQ79R83yH3/wmw9a/uKYzGEg4pm2dfEc/+6Dls4vyI5oluTRhSOsC0L3dx+0/4tg
foc72gpsz/Yu/b+/a5buL/wFrAnMsMLxLVIh/4UPGgvoT5qlbWK2tizLFcLFrS0umuYfIgk19Xht
GRTOTkeW+4jfZVljKSivIB206yGd+t1AW2acFWzmbSnfEr8oTrYr+po1rq/dXRlYHpF0N3tJ4zi5
KQewi1ZQwheemEAGYQsyA5cVB/gXe2G8jHiXe6coi5Hdso6paIZ7c6fAX74Ejld9LZXfvTC9Vtgd
HLs7e74x3ZpS4RFr2Vm6NUnm0ZT21dRAZUHtqY8u+tvVbLXs44KyO5Cv5JBk2VgyjIut66i7Nj2m
eeC0YSLd8jFLosU8ZAnuODPlhZjHpQPVI97ggW8toqepSomzCUMcvQAxAT0D9irneg4oNbvJZ3yJ
5lMk5jHAOqH4txnPY4XJUzIjKl/sz0BFsHUAGldXTUt+XxAHvLng8qijJ5x8MosU4ERTcbAqOF9C
RPOc5s7Q0CDZfibzHQzQdDsAn7supZsNoZn1cUYGTxT9WXVz/wVX2biHcISHNE+i8UNbgFxDVugB
oKAx1zcIFQIaoykLvcUTaLCsxkN21y7zfPCAYG77GVtCWNaAQbIRwVn3fnWCSCsOqWUpikldOA2F
nwZ7u2cAGE7OV8yZvuZjCRLLZe42+9RAMg2rwOzlaupMvl1yxXbG4wcXK2TGDJAgUN25My9uEst/
EJXpbwfHaT7nLk8SrkaECdpIne86s8Y3qxu8K0On6ig4At4xdLWfMDw11wCaUrGKZ+Y0WxZBzoNT
P5QFYkGq2pXPZOiqVzBP8mwKzkCI9QbnWKlWVJUWV/NQ+nDBU7AuXWfeLUL7RydlWGd5vXgv4iF/
pPK1e3BNfEh7SqbNu2QxSBjDWWK2mIopuDG9ID5rz4RfjBDTXYtGOieB/f1gWgYmqiiq+gPuE7vA
oMclJbCdFXvLCNK7RPWYW7NgmE7R2D4U5hK9B5wvr4zMdd/8pvCOvjHnew4tNpepsoKbpudChcLH
QQ9DlGH0qiQgS0yWxzmPmKr1l63FibQMZUvIoB1ahSvLa23G6UNzb1SYeuScMitMeEzr+l3rIgLE
UBXrGnjAMxr3hB+2ukKGMrZ+H1VrMbvnLoNo6QsA8wHmgahxXyJGZJfz0Laq/IZthR+fXCyMn2Ah
vltGU98UXvNQN/orSNpoFTmwHYKeRK1GjVrc8VzUau0LjX01vYASbQ9XjNcXZ7wj3PU46SZvO5Im
LsEztDJM3Im9U9UuyHxUO4R4CMVVg1d0NJ2RBaGIHTbmXXGSBDw2/AyHpzJwy2vDZEwHDIZedpds
+F3nRWw34a02Etcxrr9QGZN871OZcU6WnYFs2an4e1ayJq5ZTbBbVyBygyu5THG8c3ouTugLpvDb
Uo68Sf5IcChzFBL2BL3IOI2iQy8apZ99Jk7Zb3sLiBWtIoLbopt2AEbcnTm45sZVNUDUS85hGE0m
u8rlJK6WKHryubSrviM9PmooIKS9i2adxYDBUQkVM+u067dwvpZrnt3mg0yb5V2yp3JCO2mGIzSq
6oCNPLuNbBltkTOSL52MUQfxAmRluHTmvL2czTeJY4wTthlw5dj8+jft5ua+RlaH2LlkyX5m8wVJ
AaElLFofDdFj1+VkQbIPatW8unYjuB1mGGURGeBCs5mmc294MHOreTXgnl/5RT2D9Eh9f9f2ZKq5
/u0tZuqeg5Z2+2+KMfXGsYP9osTRyrL51DEZeW1s1R6Vmvb9khkPvcZHmpYyuwckoM4e1OKzzXBs
h+/Wua3Lk066A6ec+RYJCQ+a7wxPQeAMW6LJJdTlya8PS6aNG7NlQnR0uJvOI7OzUxqzwq+IwlhX
QHveoiDo3nyqnp/rpK+uuczZXZEt7nsnSi9b12wR9apGKT8rcNEnWiOJPNi0B6/TvnM2o+yCVSuk
fU2CoFzWY4QlzQ36Yz4vLq6rAQyKgc2mMQawN0HOV7cgd23zpVgeoqUjkRcxuXiRKKibWZNULWLX
ufIRPLywzxe9ar00/QRB3R+sAQ9SWMDOecCgyl12eW1cD85th/q0VUU27znYed8tHDs7D++Sxrtk
zyssCCWhAGvqJh6kFCP4rapqbFcMkkYe97qpt+w7PcC72XjPZFCosDNoSJewL5GoZgW8PdYrDof5
i1H2y1MH+uCEI4/13fJr+0q7Ud2vytixDsp0PhGNGcZAu/5GEw7dvkuV6qfJGthYu2w9ynVQN/5p
0jK9tmXLDKBlbRVx8QFwLeE2ztKblAnFGVMc8K5oiThKFCOoV4AKWK/BujrGZlZldee70uoOIzbv
x8pm80ZkA7q82TbeM8H64Ymm4k8I69WyS6IWvJjKnbMftOqH33dqW3oxM435YuYk0uu6oTsG0wY8
sf2cNv746LPUfETIwyy6RJih2WcmBAo/FfrJn9P8B0RafC1OleMHTuBjMQd4i1NSa/smrS8yrSao
zyI6KRgCsqJecNFieA0i9Q0cyZ6fljzWwMQ2hT0sIUDRfVlbD+bC94zgOF7NQAfQuurQhCqwkv24
HMqUAMgDENvM2PdBIo5TmXoPQ4mjwWh7m+KLAAdsnLLpEEvWfuNMckObAF8UAauDTe5+V6c8TIHt
GClmLYyrpbDHO6TBlv2eyaOVszDtC9H4BICaFqCFpnNA3c1t7rvTUwZVDrN7IMIsL72VbnN341fC
eJSTv5lQlgFp2fJubCFMN6Niv4cw+2LNQOCHhhqzZij1J5OKbDfSH7dRbLf2IBWDV6AW8zmyvOpz
aG1yU+0ykjEAu/fQuCQiqApmY2K3e9yC8Smu+nmLqFW/U8+14KqpvC9/MYC6R+LMoCk5FgaP+9Ku
rW9zOQ8VGpFkfsjAnRPoPBjJMQcxQoFDm01fUWSOp2VOFbk/Dn03s9ewkIxT9Q3As70ZjRbMFtys
3ViMya0H/H9LCCTY+gTNtkvq6+s+CoxdmTAhsSLc1HU7fZIjaG8TXd+QBuj2lknv+2zRRyE7TDD+
7GWnusMGNffjiU1nsk6D0j3ng53vI82yDg6WjmGKvU0/Oc0dCVZAc9oKzr5S7ZahBOc6oiL+fQVc
3VnV2rS2cW0cWRPh69k56boCAY2owDyVycrEfs82Agfx0YdDuXXAw99Lc3bMN4RK6V8NUct0y9M0
+ZC3d7/YZMFQE05hPfOQqnfT2Fk/fDFenEx0htTwLLPgc+B8am2XhqdR6w7jQ5ALHxJmv1ybrXFN
1ZC4ZzM5X6UB4SKHBMGJg3bAbu5iAZBFmjDxVFYbhWMjnMc8s9QeCjxmszyI1mOXMp3S3g0rQrcR
NeYsT9kDJDjl4N/lL042SZsWn3C23DQdjXBMFEDJ5OysH6rGbk78XkXP3gsUZFPPw11mAMAOGRHK
a8Y0GG21Vy42FCzXRCbIrGY9Ydt/4Ihv01NFZvCtzOLi5BD/MFdWYYsbp2KHklGCBjLQSAs7jHFy
3GZYypAiijbyQhA7ybLK6kZhvliYSYdZpOMXM4utY6N1lzL4dC8xQLYYbt8eqiwvbgaTUoN11xbX
9uD5dxJLLA5zn0LRVVqUxSdYOeub0r0Eupf5b31s9QcpA8JenpeQOIP5nDGyKkFhwBcjfwLGZyrX
RgU6YBMto3wEiA1ZtsmQw6fL8NHvIEq6tYBFGuR05pC4WxtxYK3mNGp2rFofBOBxftmgt2Lpxruc
DMJqSrpdbKtbuxZfzDTwApPZOkxp1K6ywjiYOt5j8r1ZKsb0g6exg6aqezDHBg4+jQ67SNBDndFv
vcrdbGdcjhi+X+y5EGQ/qy2z8yHknVx5ovwyZy5Jooy97U0mnkw23ByRLyj7wKB8In4JmjFfgQl5
pK5sDrEtPhlsO0KOg+O2Sbszp3PKOEZ5jdBfrwvT2DsJ6G0OI9+MyDllIl1D1rrgbkCdAPt67yr7
qPCThqKFWwR+11svI6G1rIq7g58Vy6YY0dmFFy1IkkS2nHLo6HjveZ8DPYFkR5leUYUHzha+7vRR
DPW67eM9vEqMq255Xno/ux2dotp4sblc89tzd9qJgjWPHhrpR4w7OBJs5yoFdH4faXycyHRipRDR
NohzFMi4CWxq7OgODU1txqbUmIcdsnN0h3/WinCt0VuzMkgh1aGfd83Jm/s0uZgrqq1sch85z4Ds
57jD3jX8iFSd3b+2aYn9FIsbB5a085LjxEhZrxd7GLBmpgWISKWD55yR7UfnqOjIwHYUDHJ1yIZG
vKpR92rTQVtNVxb4Izz5jpXce1pNxcZzHNBUMFpCHhzmC+UP+QMQP80ApXE9c2dkeXvl+z6BoUHC
fDX9Qb8wcH5wZm5Fs5OPQPjFkQUGInWi5X7KgdTrxME1NXokRYAtMZrcaMscftgzGGN2p6Zk/u9I
5q9R2fGT0/nbLKUHrIjpSVg10fDOLyvB0qqhnxZFvCu8ySMJyKNaJBzhyDOqq3Sxp30nUQlCGVvB
JrEbfaSZCIGBnoTxWUGPe6so6tglXtcDevRb/0mycXFxTNBxF0apk/2D0/F/TFj7f9U2aJkWSrqL
l+4/K3DrH3mc/FGB+19/9Jtx0EdrCy4aG66837S232gE3i/UQTg49pDaHGlfOAW/q3DyFyl9jIae
9SumwP6DCid/cfESBgFzFVAGl4LW/0KFu8h5PE5nVZUX3gIfTmJzxNVoeQ5afiB/Mg4mpaAqJwDS
nDSXNa0ea/DypFpf46EbztQWPfZGY9yXTgegC/y+PgIcoF+B0Fy2FmOavxVZM3zAeEoOURb0GyQ2
sVqIf2C96joyN4m4mzwTj+8yx6CoRn3L/DX/kXret7FvaV9aAmNTcw7imeBWtzoYo0eedjSD1Vb7
4qCifFSSoxFSB6zBKMtu50rcZxXj+Nwic4sVZHx2Us/cmOmCjQGDzjogmvFQVcErphUEgJF+KCai
bLUNY9whgzcoinaybvEk4n2rH3C1xJfasIvxrQvuMVNma5x09YNbuMamVZDB1NhC+m06sadTo95B
Xx5fQP1QAGJH+Rcs3/I0OKSOpVcQv57b7luPhPKY9jZZwCjiMeN6PCUZufnsvQpMbSwmkfWeMb1f
eaiawN5kcBqtaQTQu8AWXLUc5t8dNi2a4YggsFy7g/lWkbMLzUizW5X0I1dhM4hr0Q1MIuaLUUca
eXuMa1zWK0diiA4X0Iy/1en9/yXhbwAlfmDCB/lLTX4HGLz5+BPW5J9/9duS4P4C9MMJsKw41AaS
9P5dmPfkL1YgmJna1j8dw78vCe4vvkVcIPB8W16WE/7od2H+4jP2Gd9Zrm2j24Py+i+WBKYCf14R
eAUZmFTR46pAGP1pRQjsZPDanMNVJ/i9hwuq7UvMjuhvwD0XVtKfFp5Aei5rjxf4ns3n+ullWs6i
6XiJO3mIzO+MyuQWRLbCy9Vlw04V+u+afa0LVurnVwSdCKXANAMwLpd39Id5QwALkC135G18awoK
Ds90Q2JUYZoNKszBC+0VyYPE1UxhobzvRxOWKhis5b0krL8z6yC9aonpESIe7A2/0PQqmPPxGt7h
crKmTF//4Tly+4839idQzL8szVwhvnLGIyIwfdO/fFF/eL8pKtE8TmjYWVQVn+OA/RIhm//NqLhY
M+JDuwMuQSWhrD4bNMTPfpLj86xSvRN0jHwpdm9PJUBjqn+W6uuv3579r/cJb+8yRuIZhv9d/jS+
Aa4GvIAByqYHFnidLFY2sbepnLXfjvGRYLjPomvp6sgAftqYhklUSCF28p7lPqbJhuVTFed5io+W
pQ9mbNwxsMcFG3HIQ2km2P3muJ7cDZGLFgBP5FuvrAz3UK3v//qz/Nrd/fOtwRmEh7DjuDx4fyKS
ScIXZtc7YqP7PD5hsiEPdenLW6MZxVdjk/TgLhxTbIyqHT9Lb6wiSOglbpqy4ImAD9W466epe/NY
34nbWuWpyAzxOnFeb1tx7TfU1xH7HsBGGOpMb9Fw6KoYQpRK37SoY4qaxCvJOOemoyClLC+VMMmw
17NXHLIm925YzusT9MGFKGWMER8Z1oq2Mdb6kAONjy9SAkoEJAnSw4w/pcdpMMT3pY/CqxFxKaMi
NMtqdGwKcwSLYRtBt64ovnr962v56w/3p2uJTiVcJoSw0hkY/vm2JWYHWbydxcYinXeu4EDTODGa
JzZAO9+xvox0nM79pdUSgogEC9Y3+fjl1XnzDex1d11jUCpCu7Z9eufyfE08ZsQhV1JzxSFK31Zx
1e4Hxg7TUeli/gz60UK+jagtzCfj1XIyddILtQKrXCdmOCtzOuGdS7dd75l/c+P8Ckn8lw/rXx4J
khIefgo/fVhp6gEurLdps3q4UUQjyM7ahnvQLOu3xuwF25qMCJy4fLlraqmOjhYkJQAE670FJ/iJ
qdf8A+HK/P7X38O/WV+lawbyMrL1qJ26rC5/WD1yRWtnLkaBZGxTINVUX2jJB7fDQwx1/eqvX+zf
rAXSRe5kZOFgLAl+ou5VPB9GOV+Kh+bWfzXR8S6/4vRveo3/zYL4p1f56VeayzTxWgfqfuYkyQ+T
CBORyBKvE1bhefvXnyjg8vz0xUr0++DyRJU0Jv50+bglU60RHSCcOPbRMYrlc/FqIq2NY97bU8uy
W6I5sGE0zfIW806z/us38G8uaYCjJvCxwLExd3++pMbI8CwmpZp3/vBsjTXzMdyUf/MUtv+M7PNd
IS02DkJcIkwM5H3OIH+8TWyWXDnnqbcZRHOvW1utCnPepclwNwGeC5Iz8dgVx4DPy7YUD6xxXqyc
OdRSyXXqYPDHDcLALXYZmTIK2fkKDUdM962tSbVRkLTRCQN0s48P2uUoDMBhadbFWP9A/Vz99SX7
+f4QUoqLnu+7VnDZV10MB3+45RcyiXXvNf4Gz1G1YjIiQygwar14lfE3386/XDaOX5cHH7ocVgkh
f7o94iWy8ZgbwcbPPXUVzYjjvrkMR9UQv3SYLO+51MHfvChbwZ9/1WAY2AmwXWJlBSDz89c1IvvZ
hTVGG9zkjwIhbuMo2eyCaBpfKcEB7WhN7T0FJQdaf978oEy3/jjbH6kCj9CZMVnYiWOC9Km08G5b
jamHxe1y+tM7KF+aA1byFtntWzVY2EjHCjAN/Iy2wDFc5yRP/XE6iGzAFea35m3gjUyrCgwSyRzT
gcTUMkzM2dxiehXXssLmqxrzpG0j3/rTCMknotPU0cVdX2PQKGul+QHdc25ZsegfMlc+gJ3uz4v3
AXPoszSX9lziemJkINRrWxn92cCKuh0xj62jJSWMTqtuiHcy3RE4x+tW1Hn6BgjNouImKeNVMLXD
p401eOfGLrH6onPctymxgUabxaPWw20jdz2fM0mV9R3bH9l4OgrCxAD27lPVueAyE81W1FkGjiqA
kpMLyHKAZW7wome31uThVLfTutvQGcYzt+ntH1RMyesCbWabWMpCustgtQXWQDny6PnFOuIp9c44
YtxAG6DtMwUfl3sPKEM44msQ2mFJbgaWPY1ax8aJ3bsoHmqGb2ipjrkJqmlf0dRAC6BD4xEHdnR9
YFN0jgZf84jSOPaPCHg/UnaXz4mNb8VZgJzTlvdSxPVVW5Akbpn+XkcMLJ7rNHXuhqyB/THrquDf
ynGTBEtAG0p9VwTL86QQgofMB/uuG7q/ekW5YCYnb4XUPZwbyup2Fq7VWwbKBZWJfG19c7EbRrH6
kkMX7Bg6t3tOuPquzaX1WtY6fxkTZ8cAtEIlSCd5C49f3yHN9ZzOmblQkmHXM2XAA00haununGju
n7RNnXRN98UjhUx6pysjuzF0rfbQ/4z7jI3WTZ8SXU5N21xbdeHzyp6+iTBVbLJxMjc9E7wPI7Ka
A6A8cYO8BhOLb2+/pEV3F/f5t2bw52/p5ROOJnUvCHe3YPd2S/VoWtT4UpZ5BhZ0HRl+u0vNdCR9
l1Xfo8giXWFyS9ZOn7ABl3Su1Jl1Zfj5su66ulsvGHtDOjXEnV+P8U1WV8saJJy1AsJeftEIMG0N
LNZXAEiKcynkD4LmbyUobKxMFp03YWMn0wuCX8VQajSIEUPZiQlrhn0bLwdSlNRLNeql0e0LMkqf
4pOymm95ZXXPSmbevgjqYhc4M8FJUFMM3sb21BQNSP+g8fZpQ2FOA+9wIxzelGV65TP0GuM64V2t
GdDxH2flPSvsRIS+Hg9W59BZ7JVqZ/vjKWqHH45QR9olmEmkAbGA0nSmVZrE/AeGih8GzPSbYRqM
beZIeY5a+jgoYQJl0c/fWimq+7wZvTNxLlzxBdNtl8acA27/20Wbzl0fF3wnjAfKddyOWHIt4PCB
1cXbOBhJnJJhmOxKn/wUL2TmkNJSc0zPXbTET50TV/x/ejmaJq3aoqLfEOYDJmy3nXlA1FCSrJiQ
cF/2BATEeJMsUX4n5mrEAGEUG0M3HTC3dIcO81bHRbvFaV2uXYN8RmdinRjoDJ7AxNwwr2G8a0yg
OMcUZLisKQABKw7bSNW3gAqQzyKOdt7W+R/qzmQ3jiTd0i/UduGzm2/dYw4yGBxFauOgSNF8nkd7
+v6ibuGiqtCbBnrTm4RSmZQYQQ+zfzjnO6XzZsctNEyUXN02SaoNVqsHgVXiScXrGRILy17Cs/Ls
hblXxStu8kfbQEparKn1beilIIsso9KX0B33WW+h4u50lW2WznvoLAjRxGHrQ7vYz2a8RG7lWOE4
xsTK+eMezOC4JUfgDzFf58R0N2xI/hD6TspeNTn7ufGsfSeM5zpvAKAs032Fv+WOFKWsDV3Wi+8D
2uZN085V/FvRnk1hQj4iopGVTPpGd+cBTlZklTZJubm6jPA0o8GazYgcKw1gixSSULTYIojCqgQr
kMrZeQHUq3qOT5Qd9b7Osvxc22K6ChOVCLaGik1s3Zxcr6+fHK99THIT5gH7mc/U6epP3Rn53ox9
dHKI1xjUO+kdLL5bQlNdb3vC9lAJpsU+gO63TxAZf5IFn51aaYyhD17hqWNYz+eiCQ4TiRcRyzPa
wWKFAKPq8tjgXePod4n/7HLjHnvsCAyOwztLu8fO/CHLya5CjxXhC9YsgurNpLlac7E+eSqXZ+Qg
NzaIn51Ztq1bUnbiXxUEyXdyKiHiWIV5c4i2e6ISuAtJINg73ZD+Zo+vo8Yh0HJqpU98mGEc0wQF
VWYrrtsESQop8Jslt9WVyc6A9Gqs70gRdM/D1Lt3sU3QXxJPxouFhuwRLKV97LCq3jHIZeoYZOqe
yBl+1QfTpfWz76ZssxfUiEaU3tLkeES37dj/kaWb7CpMFGvod7fTJUgSIm6Khrpf+9567B17a4vu
1IwProF4q/eqh7lg2QGzUA4RUpF4K0bp38OorZ8GnbrfbtqW774F4Ikgsbc1dtxNnRhcf2jF9u4t
FA/yLDJlAxM03CivvAFSsLDbTrdzfEIcUgNgiI8c7JmIXcegMC2CaYdbMzm2tt/sjBWZRQGle6Od
kgc/HjrRbJbKc44ZnhuM8cYvCSf1Kvn6cFyEeKyCrLjXafuNqM3cgp+wqYCLrnomcPUCafXg984P
sSgnlWt1dfPA2yzrlG/UnGTozHmfFSE/EVwQPGq+c48NczspyCQSdmAXlzOuZJOk+kmwXZ/NYHwY
Blg+tJjeLYM8NXfoyrwk9Pupu7A/iN/8zjefynIw7q1hbk42qqX7ZVn67x5tVhlObZK8zAQ3XYXh
uH+xcAVfMkVJm6dptrUSvs6MJZFlXtWZYUrRt4vdDO8+58L6aQW9f4fzfhWo1upq2wV+9dRUfnVM
2mz6i0XaG8PMFs1ZgSPf96CemtDHaUzQHDVJRlwkfFCX+3pi/AOKxyNi3ZkbaClybOMXpzFxG5vk
R4X9XKr92tpuQZ3Zeg2WY5JiMd8UbzWezneEagV5tz1LxLBJkjjeZqOdIG+os+BCLg8hu7mYNzbN
EHlZsXA/VMsV5Ddx8eFZo78PXCHYnoITYLVZBvdB0TZ886xScIzrzN5OMEH7EPeOfliI+aFk6vrm
oVmT/j6bsic0FH8c4ABj6Yy7BMv5qVOxOoyjfid5hA80UgTcuHl3GG1db63yJoO8XTd43xC4BZ1u
byMiwjaAsG6aQo53lt0hlIjHZOcT8nEqBbGHYVfGJHok8y5mp5sRmYyksicUhj1tiYmnys4CYNNb
tWiMXt9kfj3J2XqBSPRptslRrgr8af+eWI5zKJUoH1vizw69UZH1ZZT+XTHJfNgUdVpuasPEsFSz
kLmURtOhiCS1pywEbB2/sKiTpEuUl9sNz6LPcxznEqmy01hYhKsUvcotUvxzmUEwR3wL47WNXfUI
r/U5XkobNmBVfSza0Gwh0EkeGC3Nf6eMsD1d+u1+XWrW8E3jH0i7VoSYc+19EyTEyr0Eg6KcG/IK
NsKeTzIGqqGrESJk82EyTIQQ9WCGHdDerVeraolUcLKrvHnECx6wfA/wbEx92hx9TPBvrPq5dKTE
5hGmym0gM2p6VgOwOT4xL/3ha6ptQap5s2lX4XGxevixWFT14pTPkhAm1LzwmqE4bh1GrdvOCsq7
yUmEG6ZeTW5RloBcCgzIOalT25GZWgSH9oF8FotPw+AzNHxlx1V/0LAbZ0YUNQgpK+DDPQZ7gbEE
yKx+JOAWp2VZfQ8MHXeLPRiffIat7WrP8SEfpb6KyRi3ix/AEF0gix5tFu73RmLHWEOBx90XuHQe
OoqPLSFEyA3Mot6PsUw3qe2Y51LJV+LTTlbZ138IYE+xn7XJM2S5+lm7pPCNDTyalGAvmrrAewwC
7E8JONKnEYbFveUbccgfqb5uR+HvEj8hxuyydfnNHDlJ5lohURrBKzj74cXP0XJsxiH94mApLsk0
L6+zAf1wk0IA2pmQ+34T0NLyGpL8kCip74ohVRdTK/yS3VKfEOrZx0aNwyU1wXPVwlK/0maM0VSp
ig8Qs5fZk6irKNh+QQ+1ddjhu4OuqRuE1hPbuRsuDdaOPxFYNibpA5PB6S13mAwuYi1PdTD1Abrl
uX/Eze8zTtHdeqio185eMXh/Z7O1boHCVfpo86g+kl22VgkcU8s6uj79MQGbUL+AEFVrWKUzNsFM
VoekmrNffV92H23mGObWNlgc4JzUBjs+NWevo+kG5MytYKRK0RFtWpY0NlKVxl2bQO4TngFyDA7a
YYo7uKm2SYrymnRXrslsR1ZeYfMpaRXKc7m+CbOqXkUqCtQW0t20jY5pDqvhkvvLox8T/BPKiWzS
hpcg8CU11Q//6ngRjidKy3yVAJID0bLrWJR0gSaiPfO7jCoktnInapEHvuKTZmBqoP1DZJS2X0UT
L9tJT9aDOZU4MgUFzyVGWvpJTlj2QfpxBdDAZPdIhqEzA55NkmFftDbFrvhH2FpNRF7YqfWJF8oI
vekWQVOF5YNLfd0vvlcechva+lsZx/3PZOGijywmh9XJcgBfRjQGeF0DvHU4w2ITRF2x5t28oZIW
4gEJ0yDPJqqdm+rRfR/LpTwgLrOfCm0Hh1SkSGnKqcakToWf1Xza3QZveV3OSCXnlqNA6xHJRJ4G
ya6sSPwZajilLvy2ZgsBYrXuGO/d8t5SiF+erDMdujNA8AVdPGkvQf+aTi4QeoFmeW7Zy/ZCLj+6
CXDm0XvPJy3q8o9LoDE6YdLgo5UbFkotvs+70i/1L7CI/Q9Uae/e0K745qW3H2OMmDGUQOhOXIUc
A/+aJAdpcL30tXcDd5I7s5vcybhjGqY4zyfoG5sJrAJqlLp5SHF0X8ily37/d9icP7fyT0Z2MNN1
Du5frSmDfCvt+ZwNiURHNIsKSOvsNR99C3u5QGX7zkqJz9VU3BCVaf1cTbG8iztX5TsI438KIO/2
LbHOGRyWJ8wz9yD6T3lOGr1G5Uc9o4V6AndbvCyY53e20ahzk0jzAVuFYPDRjR3YCbRMu7XSw3Et
W2vbQFkekKjW3S/2+hC9uL7eVI7FnRM+8bLQn83+1Oks/wSybm7nuQY70RgKbetoXsmlFB7S2aGS
rPnhqERY4uIqWpY17snuTrgll0nf4zWhMaAb/mO5rTwyXVXwj5a/vTn97XrxatAChFCezSP2uGUj
a9vZOTNHKGkH41vXKHWSAe54srDTv0TZKGJucSZfmGxxM5QU1mDYLR9ruWPeYvjSPtJLI/4SNoqK
id3aT2+5c/91+yswGODkDJ6WxEmAV1o4lkM9QbgIPdaZa2jYK3ZDkyAyJ+bFYbmmBddvbtcBuss1
SbEItPJoIljiYYn9K9Z8937gDHZ5WfEGFVrPRCe3x/M0tPrYzQ6RXO36YfCn4LwXrrOhMcn33rAu
xe2IWDbdiuJ/ZA4HkLa8mUXk/HCjb773vPQTigwkfTfPEzuuest0yX67oU0dkbRkS8arexFIGSJq
GVS1RS43t5zBBD73OUDtGsVolb/XYmHcVo5k6jb0umLJmshu5wE7R7WSKkG0C2+hCaSVklaFaEWt
ORwWrmT8tMve67TY10aPGrrDmBKq0WouvSWqneF0/rH2LWWEnHTmc4Mn5otRRhYAvJYYpkS2HLXZ
P5Vxl1xJfgvLAOMlPeBo38cxrsmM53D11lpFUtbrgZ/4QGik5bB0lTNPbBKc6yl4n4XtvyXag1yw
dlgmpQbCAApk43L3nsbMs+/lNHobSbnyPpledi6xnwA1qputtUwELRBaiVk9mO+XWeKBGQyxbgM7
YVtX0V89+mSQ7RCiTefOD9Iv1Wku4AK8PNSR5SFPVfVaQsZ4UWrUT0Io/419fU1LREbpjTnX2lu0
nTWOUojrG2jRN4EIJl+7KaznYa0C+tkUDZ8zNEdTk7zXkFoSwe3KkJ/kWNMcgv4gNxPzsMeX32Mu
qRH2pj7UGqweGKiDxFGUWysc3DTAfuEJNwt2QT1T2sOKHY5soaWO1r5tyl0PvedpMKVxKCjva05T
2c60XVYKNcidxWNarNmlJQn5JNsS6WeN7XWeXe9ucaoWcodJeHBLpKo79fRAfeFtujhrrulSX0mR
tF/NJQ6rzvqd1t4n/nw3dGtvIQDYg8XnJQgYN1XnRcNa3Htj7B6USoynpia/va1seSrXubhP+/yl
SgLC1IspQXRqmc9+5zgvAMfiI/YHvRXt9BxbiAOJmJifEGkbh7Fw88vCTUo0DKAblY1PsdDq2dNl
ue/BToBkYcrMQNe+n/GH710Qmbuxr6uQZcjHKOFUGqrArB9jVi46fz8ifSR8ZfgZ6Fa+V/TAdiNw
7a8wrBZX+8j3mzBPm/IIsKfYtti69n7SMxsiko9ICKYDWw0j+wVX0k6zj7Xxph1Ndl1bY+2/nL6E
xjrDwJbjgMemyx1AYIKTtGL+hAjUGHc1eRZt2AyW3FruQ+vi7m6HvJmizu3HHSkFgBAHVssN2iUw
CyTM6EZsg6y6TKkYP8rA/R6lUPtRLOZxhQ8aDhKSxmh0Ecn2d5YeDqKhv6vhwZy7Nnlg9luzOyj3
dZI91sI1/oCpmDmaaIetuVwY50/rmQHYK6nTjBUMP2LxEFkpfj41jc0ROO9ZgUqml1iKb3uI0yi3
u9+wMO8Q04EoUGmNssy0FF7lRlpcB4L4WZcWSLvp0bfWnijEgAyxcKjYZFF6+GdXLHnUaRpkaKY+
TixgsdKEFxTf2gnXDJbfFQxApPC5s4GzQNM+LjuM2P3G8PFS43pw/9RALJ69VlUw7RILN/QssKQB
0B8OBZA5h1lLnZxckebeHhG8+9FNplCfMb/Bx7NrPPrewHwhRBvHw0wmRZiv0xaIStOAzvC2Wso1
2LGgYJSBSf8xFk783DbQs8gYrYO9L60jNMKNkvhnWtdCll5N6H8Pk6/TT9gD3Ip+xiPVpWadvYhU
Z6wcTUitnwonPpGQeIIjgxyQ+Oyl9CeRyj18k0GQ5Y+B8l37yDobai0EhtsBl2Z3hTtBDYQBHc0t
lJfVgwA0Ku5Dz2CFwHka4DTJu/QpA8DzPA4Opy3nRrW3M81Mc47JoyWh1/M/mqoYP9eaQPt/5Ld2
TjCW4RxQN/f0dZEFFHencTdF5EuawyFzue7x4DONSNVEt4geXjxK0b0zKIZ9Ys2g+ZbBP/meywwf
dTLiX2xmurh4BlHc6BAe7Mw69mXzmRgFzDhvfnC535FVPthCnftsgFBlgn/HE1GpR5eC5J4nLvmA
YtLSEYOz7pVx56/YgVySMaFMNAfQGinbpRX1bxbspzL4PanpyW2XdwczBFTkmDIj03Z7XFBFK6mG
G2OrvgQITCOv40EvU4aNhGbeRDbm+MTdXXFD5kzJCHYqyYXC0rsbhLOAU9BT+Rc/WBF1jt1HlD3A
xxM7HPyYngkhISoTj60U2Szzc1BXw6saG02Uks2QunDbC0jGq1Hk970t4q25+OC8ZMKQoq/jGCow
jcwWVVq7geGtj1NtD79hOJHU3pFjftYDnAFCM/KMwjdlLdwOXLrlqDjykkgyL1gzFRxWA167Qatj
cf6U9cWAIPLcokyn0GJ+mho4bHAxfYDNNffrTY7NbHW5T2u321jxot9Xn66tjFhlMdnweFgevK58
n2fTflQa8M6uH+z1d2Ok+WGkOr53gsF7X1uNqL5lrUdJpEHKZWtg3C+FMBCw+7wN6MEE1JlexQ82
o6EvelO6EJ3Fl3RSMDAH3j/eSZH45hYJfPFKC4eatOv2sOuiuTSNsxMI9gX9lL+CmTx0YzPv3HJ+
G3rUocSGv7JA3oPh8g8FuySwLB3kyxXHxMbtXGbcmXggAZaoCAqHVxAOhFLIhs5k4kELC8/ofiqd
XprWv8nz171vdZtqLhD55zNXNoP8SMuUCXzSbBPLnjY9ShuAU1ZDoPtaWvT4qGG8DdaJP9YIqAtR
YzMfiL3t3o0qYLbqOe3Rzaz2GxsEIR2LxQMyQ7RMw7INpucC6u0SteaQH3LksAzXtE+ArSxfoTih
qMcyPgURmHXN94V5Z6o89Zi0+WXwRyqLqUlPbE5YOVhlcVi6AHpPByAKk2A56ye9pNUB4dlM1jrx
PQdscNjLiF5knYAn9R0CSPqlzc6MKsQ1z14Dc4u6sEnPrnY4wlx/ug45a7OJxJ0t54Y4w5ojlFm2
tXPsLKDyhCrP+WWmjjlNBKHDqupxpoZJQq4rpMJbRPNgWEQjDbzlkbDGt7wHtSSlltvUm7r9DNiP
ss46en7DNUhWyt7tqaAwawzWPR1cHSYdW0XCplr9iAetz1Lxl/x1EXU+Ht78VvHO2kqf0OuRyRFM
Y1QTA3/NtIZtZ2b2FUeFfnMSy99ivHHJXdEAhF13CC3dA4XPa6w3GbJfdnn5HTon6C7+RO0ct0DU
W34+uN3lbuSU3nt2zt6/7m6bsTY2fxWMG04xW6BNk4M4r1IbwBu2FCxUtfsFaxaEElM9Lo+cPK7N
6LjQ3mZSdIpknDfMkOyNgSUobHIxvBOb5T6bPJ+PSWPyKClCdmdH108uUi2cD5aHXQIKWsYhy4Bq
co4GTjGmKfmabmTuls9p2eR7xODDrzbmrKsNm4X+XKFsC1cj4xWXpG1NUVGZbJaUP/RYAJMvBx3t
h4vR9WG9+W1YJ4IDR6gY1pntRrByp8gyILZgmaijrLJXkDWSK0fVEz+duW7lp5jFRyXXv2ry7XtA
gFceKKb1TJOishiyayLMcgS62N06Bycpl0ugWV1joZn7cV9zeEL56/rpwGPdUj7eqDBzKZMjqCL1
6rdGv94uosnY1EGxLrhkfB/JgA7uqsmMD65fdl+WmkObmXvs28MDYczrsTIWkLK5AEA/zBnymWRI
40fFsOiZpyv9lVeN+T5bNjYqrLVbJVy1i+tYP3hVXcCJAF4YxuvE2rkwjXdUl8NrDuJzAw8MZkKm
TXlMOquNkI2pv4HSctPERr4lKHx9boO2uauwgO24LYotqST9qVqMhn7UmCzWL+Y/uuQxAp/XnkVG
92Wpoji5qyIJZAgw03GH2JEu5LrrHWB1DFqGo05y8ZkTGfBm9xTaFU3SoRdJzxzWT/YL4YM7c/C2
hbWM3yJoCWf6RyS5b81eESVmeoenbLnyRBaU1E73gW8r+7IDHL5dovSz71sTPjv6HVKbWR+jYNgw
NSYTMOOfOVOSlxUH5UiiViWXyJiG/tlcyv7iEMzmXgxZTadhhSDJjHoewW/iP2/ThA26zo3raieS
TtIrzUNgJsW28QY0KiZUBJ8stpd4sq0LPHMKEdNnaFNYM59nPnqgtVhiSl28JjB43VYgodJ9fS9q
8epX4q+NtPOlbET7VI9OvBP1kt6q2nqKyAR5Mwgef1gJhnuxl3x6wnVVb7LscWbUurOcbHzPa6+/
uiCU30WcDNsMIcrZrlMZgUYf3zlW3r28sO9XcasP5jK/2LljnauiN/aFSsorWRJ5BGgy/55wY+7a
2TKirpxSWhWD0wGB1YHeMFVRC+UviZB/uMfC79v9RILgR6laePOQ4qwvmKDUY31jCDD3ej1nqas2
QMeYyxJevelvrF3VABxonZs0ogLZgVeiOZaNx9znFqVh++OpmWMS5z3TfHeDAm6j5Lu6EV1L85Fh
a3omMMTeMbPN+FP9ZVc3Rn5UEDqvjd/22zIITPyElTwDLEMUW/3MzGu8hTujwKS4p4wObqFJDjzF
LDGiGAfaofWYGntSfcgk+Ual9FcybY0UW+w0NneLf8uFwhC/b9r6b+6RsRJ4N9stmRvlzfuZrwS8
ldOd6tTd7Ndvy8ixs2h/sxQshoS5kutBDCwf2Wg0nc2U+uaxmJpncjkOKIYi35gSoG9VEWHhRIHA
VmiAwswiS46Me0pYfMoSB220p8J2sCSvd07L9Hs1PTZC/JGHXoLNdQaFHrnRKc3kOGa//WbtdsJX
2b300/wZqIj34lZ0jLWG0eyVtbn/X7o2qBtZ3W/xuqpPkSTOPS2wsdNSEeXQp/3rP8R5/68dI/8f
UeVNj4/zvygUb3G4/xZWe/7sKn4v//w3f9h/f9U/nSDyv1zXYoQXeP9jAfunOcz5LyMAnYvSDzSS
JC7+f8xhJg4wmkrDAHpgou22+U//dIKY5n+5PmBGZL+mwy88+X/jBPlPDayHoBKtoWcjcfQkwU3/
rqf0elc0Pif6Fo3yAVf7gxfnPyCqd1g0NiIeHqc6/2kdlrX/8i79H5wPEFP+Q30LZYqxissciPUi
r+U/vAUqcW3t6WLcenxo/8aOD8QOXgJNswtn8GgZGipGCojFDv2UcLulb5aCj1ai2SP1zQ/kfS7b
nEQRlOO5lO+1XOszE3mL7Ix0dWBFKpyjIdezvDpFu/RA8qZkZ7sxsqgO6Yn2Jv8k1EAUax/QF1W3
ECN8dSgMvO5hBr28wWX6lRmsqZhvQY22AbwB+Av9tnpay7IkycLAcIbinlwU+kTCc55sImqmcCGZ
5YLwybwWGBoufi9uM/Al49aQ2YsKJH9fvC79Hmtb+bi69TZvsrvMzvr7vOGtWAJtaoJrjHWhPkv5
4plE1ogd2fRle8J5HfwedX1PfOVD6gfdnVuVLgvLNQ4tL+Wkbiymq0hJsxBwlHpLESE8ee4E8V2T
jqFYKJrseh/XunU2McTVd8yztgII54gbswOMrT0J+TCLfviJFytYqM0JvI5UNgTfQzMDA1pnUiZV
FxivEFUhYSiLZ2wTN3by1NdtTDXvrGwvCwvlUwhJZN5LQyZnyzaoXVksAfqi77aF612WtHQejFSz
mSW11b22gsRhz+mNu7Qnsm1sluq6KNAPkSZAmzu/5RJGZUl+VoPObV8743I3ZXLYMbuoolstt8vS
QZ+rZWpe20r6QB+bXoALst36zSJNd2MNBA2AW5obsWdfHdRXZdlgwxInp4Er1nEAyVq1ZeT0TQCX
n/sbuoZBsBXyFf2GHRvdSBjf1NC0LCYgFMQA6wP/39wyyarMv67wXTKHWX0gvR6CKzGkzO4MmBxu
NLLejVyklWCdJvRYsqozPFGTQRpvjzkULavPsqpWjfvmrgxwtjpbvXjjTWAvuUMkwueuZ/BecxUc
Y7g6DMdrt7kfx2T43VYWD1LeGu8MhpO/8eA3X7wz6VMPk+jBz10oEe1KluY2JcDpnRscWFc6pmpn
UUQ7oWeY0xW5BX+LthITfRCk0IigGuc3qo/+5OnMW6LYmdCJp1OGqg1Oy7pFu2jtKBfXZ6vW9lNl
SkJtZ9MaNAqIFhnLzcX9hWLTU2Gm5uZxis3gdy/x3Xcp797WkV2NogNoA30XheQ0oP3yx9FctqTI
4X2vh/6VkFAokhZD3s82zQjFbrBRbUyzw5XqsQo1aFpb86/oU/M5GZryjf1d/Ai223+vxsJCwwbY
TGysmSg0FYP2D4Fk5s12hM//XHuts+3XEfG/QrqMVSnz8n7T22Np79JEglrwOjKiNt7iWzhRgUtv
E+gkezOZmNpSqJrY2xh+r76epj0Ehe6JWV5LoqsyirMmeMa87XY4RXL2SQQTFrN4WJuVsYqZy/wt
W0UAoMlgBB95lU8UHLRoY4PPsDzoVlCQImfzV05CywfomPJ6QF6hKYExml1FWSRXa/DdEQCXi+Za
V+b8mCL5eONHyoq/8UpmKLKBb+UA18LOnmycxpkRhLrlY0FcLGmrvQdm1Vvad7vHUcFhBsp+Nhzv
N4c5P1FWz3DCMKqh6aLfEKh1J5WBHV4aQt0E23qN5HsebLZyfKeCLecNn8YqUGaBiEzIMlU0xbFb
b0j4nC7zgL23MLqMUSK77B5jScAsjQB46yMd+glUwei6TKBNUdGu0y7eZzAkroKk3leJQRcfbTz5
chszdn+fmdh+t0qzVSiTW5uU4vJjoGNhl0KCDUiZuVu3qqMZs7oLfdvOL/RCRnKtDfRdW2pa+1RP
nkr2fWED7VrF2APPYdvf3Hc1UbKQLTPxOcfdEke0HF1P/FMV7/qKORhDQZ9tjt0CwYHEoHDJgEdy
Ih6cjjkBwwFEIjURo0gg0RGwxSUIwVvdnv/FdBmGgjYfCZGCiyEHqU9BNjXQsmV8z5PU/fZRlN2L
vPPfaFjL08Q8+qwp/gT3nFccvGTlBs2rcf1VgjAfEaSl8wVHkAQjACfhVQMep0Qmu6IFau/433Xl
ec9Lzuw2BUDMxJWSG+3X6Hc/KzD5x86zyV9I0XBvJ/zQFwmtAk0MCwKw4+WvqlY3kZys0yjzuXaU
Vygy5CsNPoz8TuGTZIDqEtEg3/knMr8LiQRxOPoG+EBN+fVHge+4ODGoxe1Id0APAqAECWbj+sYh
Vqsxh2hm4k9DrQyZRm8A7lV7a2GSajmBQLEXgx+0hDpEXb5IBJ0mr22Jk/Xd1rb3wvHbXBcGFHtc
YutHzf1851lqQexUWFjbx4UUBLNH3Rgqg9T1CChTakTWaLbs+tcbpIX8q+73PLrDFT3iRIpUbF0N
v0eGt84iknGqX10+SF90DjFrCbbou6Uu9hZjuyaSNRsK8lyH7lszWiSere19NwoY96AS6D3rMXVa
0DIQ3I8j9KvirmU28eGOSfJD2mSZRGbSMtMhaFPyxmWJhnFMkKnlHPXioM6rVSzfVyQln9wu6SPN
VbJwbCG/WlBSd7rY1EOD4Dhs+9x/MAiTayN6dmeh0atQNpDk6zDYHN3NAk+bDwFtz9KL7LO1gvhS
T/UvlCHMjzqcHklm1lFa9muyozAgpXkchD+d18Tx6NntZIaBDVwqKmMAk02yoMMseSfMf+S5j43A
y19a8qu1BvtcJZ4kPdk3FcAyWJUH9B7e3eiYH5jm29d8sZ0/MreCAtsNj9k2sHp0pqZFkcDS0x9+
CJxDxtKOPhgTB+bKk2F7Kt6N0y2LXqIl6DfJMmZ8Om3CwlELItOj4yxHFJ8yI4BXIoCqz+PkOL9m
ONg4TZDgUAhBJEFkx7XXFaDeQuaBXJdc8OZPl7PR5Jwu1HvaASONxOgsIK7RN26MtZy2SYrhNUR/
YOLQWMr1lLap+BOn3Qh+EF15zjJEGhE8vuG33aLIDIuR/G8lvNqL7H7NEOLZnAKBVQJjMpElPVey
QQOopobaxDH1/DrnOFmjFZlqT+Ibi4OQR4Axf042mboHv2Q/GcQMyF0xe3MRprpoO0TmaLQGz/K/
8fmwXXTYOAV5senaJojsAVIb2trk17xYNw2fpmLrIM+HORqzcDLWDs0OPMQbwlozMTHF12qq5gO0
F4kcFaNAAcky0DJUgyx3TopEE5sRrgXd8Jc1ynqAjshqznOTTYl+Fh/RuinTpTqowF0yVgXSecwa
IbZzWcmd1XfF1g9ihyt3iq9AaJjm+cxKoc2UX4G2zF88ifbPnPbZltS9W1BO7QdXwn86cHzLjHMi
K/wnba5pvTWGIHkWqwkIaZx5//hQvC3OzHFVQJGp9vDn11+xA8qh74abil+7y7qBLN2bIM6a8Ye5
3vjlJEy4Q9K5k5JknJhElJLu5seWaHgjTXeNDBZsRVj3lsNw2F5D5IOYE5TFU8gWd66SjTmu808q
2AE1uiUFWXOohE0VNyPxsytrv7hS7A3jYVisw+jYi9wAWFxPABUZWbdFOdEHcNMCfsLs4DpMrbjG
qra4lFTz5YZgp8k4wpHutsr00mfygcVTvWrWxD5yAxSbWrLgwz83W3KO6iDDyuy242wAdveQSRbx
xH2/pojI/MQLXup40jZGMjA3IRdl0WL2IsuaXPmWNG/F0hatZNNSIQln5a31nRqNGSmY+HJzfON5
YxCcsyTTdgAEDK3f7Ytf6yiDHpnsmPzNfcVKufVjqqJKlJSIpmcwqlezVb8Zo128zL0hvy1Uiod5
XZfmiOWreq/ojGu0zF32mbFSNHa0se4DMMrVDG0B6QueomGeA0VcK9TeYEVsXIEq3kxzTCakdFht
cA3X7SOSF9iNQ8ljyFoUHY0HDEVFvdMZV8tPW/NcyG6YdmvnGC//m70zWY5bSbP0q/QLQAa4Y+xF
LyIQ88BRIqUNTJwwz4MDePr+wLyZqauqulVp1r3ottqUZVkmRTIYAff//Od8xykayVI3ey9m6AlL
OSWJuMZwIHQNuZaEe8sOjaPdKOtadgNXyKhTnnuMgWwfgwbbAI9lKz10idXcgiFEcKXVAAe5aTHm
DWOV7GKYEQflLvZWrUze0H71BuU4Nk5MydYdltCT4QIOUnV5yIWYr2OUYkm1c79j+NrQ2ISwY2a7
uGQ3RbmkWClh37R8AG5iaAL4XTpqszNc9DQMeH5TDi3sOqdLl9YdBgv43T4BqX6FcUUnwwNeC3xg
cYeZKL/Np4bsmsGtEa/11AR8m8nMziU97xQsMos4E9iVaUxsMFlWC3kr2xPKMNYJ98uwTdVtYTf6
N73I6bUwdfT2vGmfChxx6y6men2wXXfjVRSzUHRw40Qa7XHC6m08yKN3YH9tAnXDNQotS/N03wvq
+GQYKT0iTezOG73JiisuN+84D7if1mXg4aDk4f3uts6uxiH3gQs8vQ0HFMFuKLzvdHu5R4ft2bOo
7fDN5QBdO7xAxNVL/idmz7awokGA8MPQpNrtbEuqQUZJswJHcls95k2n7+kfx6qnQKs/yjxiDxWA
xhw8rdo7FE18RbpMfwQ9BEZWFZP2MfRO0f6QKWMQF4B4ENsicPV5B79QwSQwxeh3SyjjEPdV9gZR
rjlPhEwoNog8DrBkNHRuA9WUqm02cJtME9e7AxjiJlvDrWF4WmpgxtGrpaOFRX/AmMlNgZouzkxs
ozFVEBWBE0xOUqU+d6T2WH0+djp+tO+dbbLQIllJY/FICScFd5Q0WHsrZ0wg5i/xaYuyZf1YOT3W
A1kY9o8Ou957ZdH97JvCSyffbV3v4A3e6O2JkbUhwNCIS7SSmf3uQs71Y5ScU6tadQUjQbuerkdc
TKHcYuLKTVKocG1jTMxmue96Ke/NTh8g9Lg6j0Rq35QPXDIkUlm17J/i3JmsXYyQXdE1WgxiZQ9C
P/dNxUa+G7g9dW7UTNtSG7tX5Gy32/1fUT7/Qy796/g//8G7/1//L+mjn/gs+ZcS6eVngZ27+ZNA
+o8v+5tG6plfHDZ5Ov2K1p8x9p744gGrwR1r8cah/JIU9t9pOdYX29MdRCWe1pLxFAXx77Qc+cWV
5Kj5F6XFuCbtf0UjFZ8q6C+kgEWi5Nugk3qWpRMFX7TMX1Ln3NiLStNTj/xknO9JvFNYHHtHs+Ns
rNi9QQIPx8fUTYodkgjjajSPX/MWAwmPxqcm9OqLVrszib98PLHvGu7RfO4o/MMbM1Oraygz3oux
5BzDkYA1uwm+mcLNsXdqB+oVvLXZuwCA0/Zeo0ca/sQYvZC0wKo8JKykhuyW0ZojOktyWqBbewJu
XfcmG4KYhuLKsodHb2LtMQYApmc1Mcgm5ogToZ70dU7ejs1fwOlTpc5eg3lt7b2WAEjW59EzYaL3
dNYKxw87yU2SRd6PWCQviljBPjbNa1LQO5qC+TspCjeRSkwceOb0oWsshsy+qK+jBd6jpSrknk1n
ffFStGYs/qxRDVxXsUXVRMMKHu+Mzj8UPw8cISADKzo2tQLFpW2R1BT2I91okm+J47Ej1jGaNCI3
AObwxFmpLq/udZW8KUZplOsgWMtooh/I0FW7dlv9B/MQfq42KIbdJBbTp2eGD8QZ1p1U2gOPvuxu
yNj9ZAprkY8xWsfz4/Bkx+sfkdMuDAw1RrP8m0LpAWN2kwJezyK92EO1xI6FrEhW0MzZMBYM+72W
2WKfVVGoHRjDshMCNv2MwSyWKjICkwGje8DdInI17zSUbf+ESBE0h7a222iHL2041p1FV0zERtr2
ByrpF+e6jgEgwWsOWxjG6Ktdy/FbQcR8WHGtcuTKdOp6Wg+EybzNpE3ebeek9Obktcmkxd6fEJyC
yAZ9kA32c9fazYWkh7m06S3AhhDc7E0UFgQ/OwXCrOm46cVkYxcv8HBjYTUy7qa0w07uJS0Gb910
6CFSJvFT4lGGUvdJ4wTRnttAXx95h6ErZ26IT6R1anGFz1Z8lFWcn5yG8tZNN1WQCQa7bvmb48U7
gqFj9FZGY6m1rby7dggP2EPwMFtLh52Vbjq9y/3BlTpXIyfcmPJKEP05a53bcemTz0jbrNu42Ued
SY1zQ4wTJQZTX3lPdu8lqMyHHirVZJjTNfYkR1t6oe+oPidh4Mu0PNjRxc6HxSPkpX6FbERsiT+Z
UJbf5TTNhHoqb2ld1N55O/ulyx1z4LrYgcMvRveO/HG1LUGi5zyitl4uKnIY/Yec73JMTK3L12BB
eM4hi961JD0rO6Ivrmkg60YUN9AgZvtlqr2ZcZY+eFRXrmytvXVtkvLAVwD4NSFvBjfcZxZpcxS8
R0aqaJemxFNUJsN9jSURiGs+YW7UkhV+XqLQM52CMPO0nybyFVduOqPKCPsoc+ZQOWCiXb0ghofv
jD5VQn+eLIEYFOVFjxP7hzeFDyLLiSC5ot+pIKv4yCRbSrlc35BOtyZz7LzC52g3DUqw4Y7tWYhk
ZHbAiVBkwWGwnAcefZcwQfiQNcG7NHa3XQ5RBrI0NkkkmhqIQ165eFNt/S2jGJNVDM6NFJNWBAYV
1QI/Zes+ohoa76pz05d+Dj/+ejXFbu5PqynXxMhJz7NtwBcBk+E4v0Foior8+hAb3p6SVWyMeSIw
P2FM8RE4rZuotPmUaIxu1QZkRHvBThizii8D1jbDwPInt1XEc5JKMaRWbqG3CQ2Y3iYcAeXyvoxd
ydCQYu+Mh3T6VjaF8YpBic+z0SjmeEqBULrAtTe2P5V9A4G8aoZjakR9tAMNrDWHxrB4WBRVcBqm
ZBiIACxPE+3zyVJ/PmXa5YEz5mOkHSh/csSez+XgIyHif+h1ljwuXYH3XaLhds1q3Tk0NaEXsvnh
K4aqknrhEAHH7s8ZtgEFMm/bxzF/zWQ4Lz0WJ0svTgIR5URoLcFuiXEXrYbhnklqLQqPiaiX96TH
u1XC4+xsFwGU8FoAah86NlVl3Pr5GOxkUYij5Gr6brhl8bUZKDMkXUTnYtrWOeXHqcFmPxlKjB32
jA+uZYFFg5ue4EzwYCyVa7MykvQhZuOuTnBY83WWKJpgrVFsRoIIzLta7nteWHyLam++tQObzKOe
X+OySU5YWszb3izmEad3WHznodCus5oGDKtUpe+Ui9xG0jO5GSAlv4UdFEfU0DsmBHG09bhgRZMn
xkU3WfORXuNO3zEU4KKi1Sk+58CbTuhgzk2BUL5zhsh8dYOBZkwt624RoLHpQd9+ZZTh0zrGdf9j
snh6DS6RrMDq9TtQfSh4hvFiZoGx18c237Ql4OqVyJvbLAIZGVtil+XltGPrceS0a1BKtOHkhrXL
lqKpNypqmzUKVdzQjkfx35k49zObihG6LS3ZIce/SWsNv4k3bTSX1YSojEdaOuiy7Md9Yy5lOllF
pF6+MVarrV1rr7VMyNAVprGrou6ImcuPDPzAwjhBknkCrw8aIzqUA7kVyq3CkpIT+lGR0XtrO879
21KXBR9Dvpdm6F3SvjIhI+jN1h01dw/O4qfltu2RGNGwbsm+v00EKI5MiO1dXgqC6K1FBqWC/5Pn
FHsDC3vlsogcZcm3wSRtqxEYWVO36/pUJscnM9G+zxHZ5BxD6rWovQt1F/QYpL3YFERXfUmH1lZ2
VbAmCF+sYCXNa7vqex8fE5ZlnlamSjadW/ncEnCmtN1lroB7T4Qxdo5JJUk+igeyxOMlM4z4IBDA
z/hDbC4fhn2lBtu4Y++Gm6cIN1gBY5xUdCyHaHkZso8THylqIvsCR8d8b4Ns2CBBVx/pQKiW47vc
grMu/bwlnSlzwX+7GHASmSa7WuGAWme9mL6P2CLblT1O4slhgVlRTp7rz7EV0+HdmTq0vjhJPqIg
Rg+FVU82mHpve2UJtus7remjcFPWTX4KljO6WU7r9PPgrj4PcVy/HOjSycJ4734e9MPnoT9/XgAq
cPb0w35eDMzPS4K93Bei5ebw39MW1bjd9F8gk9riL1nFu/JPTpSFSvr5Ff+gkjJEMcIQTLWZqmzs
Hn94UeQX2yIX4gCjZLtsLnjEP+Ysw1oYxjbeKi7SjsTy8I85yzBhGFse9hVpGvxz7r/kRfk34Ct+
MN2Gsse0hz6u/84pc2gcsjKlNknI2gyU1LylU12sWWiUK7Ar439CtPudJba8EDr9aK5lQdGzlxfj
16mOjj2q3zNdbWazTVazGX4Mc4UUrbTxb29Ypvbwvfx33C7i3xAT+V6WqzseHGZpsfX/7UrRM2BK
orNqI4xleMwtBL46jIxDIkR1SWl6vvSzhHAlusLHdee92Vk53EKOSg+5Z6IcYong6T7hVlilPfIL
bU1h88S6lNRvDBvwai/aY6+L9mVSs0Wv/acuCXUJjZLCZ/RKJct3LeiXwGHK8/1T10RbROPsFrkz
zgRCTbuIoF3imO+dHQFU+dRH3TbrP9iWRO8hfZ5+CkzVL4NsvsXGiUGnq+lzAUZFjwo2/bvEnrVT
rXv6gI2vpxMpjTwkUiyLwZOL1AVznwShQ3CDKx7L2MkxV6TnnV01AzFkI56wr6XaPhxX6LAIvSwP
m488gTvitPbBCXk/GAMPbkAL1LjbjwWYtMpPExkc51CbT7Gw8IuM2XmMREf8WR+Y16tnmgxZEuri
DohXAYLFOfNAo+rVE0jQNNaspachtkUwY6HiE2DUbZz4hpdFvmZzyY8JtG4MkkJHIgrPsQcfJR/N
1J+oaiTsqZFFHZxrRxxym7W0rlGJuZbGiLkKitxA3nFH+/udwYWCBOP9VA8Ei7Bt2MYY7VA+TD/L
vYOoOfHSSvLtmwb7khF+FAmePqtP+A+UfxLLK/fwM7z1wAJvVUYt7gCTby7sXGcq0u9UT4Kgx5S9
NorwZyiYbgpQ3sIOXxSeSLadXNrNQtvFSr8r08Z3l1c0JQfkU8rz0FFnv9ZH8Wb1wdlInQNsjmyd
EdnSq5E1lmKJKVp5F2A4x89uvCV2vpWpXq/zvttJPfnQhZ2CtG2eLf4f4sRXKZMP+p7OeRcekb2N
dToEJAai+iFs7J1mUVE/0TYaULoqtXOU0ZxZedPARtclYlgHdR1ijjKVjsE8aG+Yiq+xVj4XFDKv
lYQUIlV20r3x3e6rxE9Hsnhpzh+vGd3FeAEJYUCJXzwkS3sc8CZijFRDm+5VALW7ymB8iYL2aQyF
veEQpgpNMqPbgfYYyJCibkenDBP1udToIRNOyVYm4KyzQzpc0pKUqnhOdY9fgOwoLK9ilan4JbCI
ShcaoR9k43XncMtafL+5zre2lUDZYUkACoUxlz/sXZRPHotQwK1aluGByPmg0gkyP3ZaC9SmdR6x
YGDDcmBWMGWuyPK9eNzdNv99uP5XDlcJRZUT4j+uAXj8mcfZ/7j+fOt/lTL/+LK/na+u/gUhkqFR
eJbrgYvlMf/H+Wp/4cnO4WtLKpY9+YuOacgvAC3xeuoSpZPT6J86pvuFKyvIVds0HdJ1ACn/FR3z
d6+nAyNgAZ5SK+jpQhe/na9NLd2eOopmQ73yrRGwS6S65kduIs80NLlrXXo023He9y278V9eqX/n
AKS34E8ztWMSYSdp5wleE2nwGy20zV8k1FEzwOgx2W6MTJv3QWeHa60Di9+M7bjqmP9I5CQCux9C
Rk+Y69yVhv5K5TGL/2qM8g1aTgvfYp7HK9oHwsA8WqeiYW5rrFgeOTJ5QDetd5Fx6/p9g5UebiI7
gn2gV37QVM4dsAQrvVQ5oJvath9JYFN2Bq/6ir2upHSE6u0bEzKKzu63vVBhQEQvTjviad285UNc
Iexlrbw65qw9GnrN9r7KUXUwE4kzrWPao4OtYg1EAuiTJN64GHsvIYVBuxho0dckxlvGrjNbGew8
qFqw+52YdOvkkaTaWczX5Cu5Oq/hHNLqJNiApXvUPHF2yOW2fqPFvTpogCnkqaZPvdqZjgx2SNGs
v7XAxlOEt/2Hi/lCMo1X4p44KQ9rKDBLLlfjVWMtvZ+GpD13YaORtQZzdwc2enjHoaF/h1TB8aDj
zZzWOpXgC7FMqWdFhJpYnqvyh0K2T32tWRxnHJqe6E5uYZ68oqj2uDyBNjduvEtq7Yfd695Fxx1h
+1k/Imf0NIkxyCR9fLITORKbysfx2lc1lbBNmp4Gd8x3WWSnO+GG2HiS2i3PBXT5Q5TB/EDgUo8h
/kxAqCpklO3nbdu62mbu+XO3Rqr/ZIONG7eoeER7Tj7uUs27gSSuzh4Z+m2KyniRGuXxApzQyqLQ
buXQwrU3OjwEHp8cDDBdb5ynWEUVu/3cWTcJGIdtpWX8+eEKbT2m1EPocKYUmvC2gylm3+769omr
l/uEyqpfKk6kZqSF0DVquWqX93kXxiR2sIJf5NR4j4NdxohKfecrdlcbyUjvW7lXYUurI5hXEz4E
R8A4W1kUoz64mJMN5D7bwnozgTCIfPIs5LJa+s5/JG4vjW1lu4INfq8XYOvaIebTYigqH815xu0n
lTCHbR7H89Xl4vZSmEGHV6bAR+MkHVED0lEPSgbO+xyK5sFRrfe161qQOVPUaz+SWIxnLMXmo0zx
hfpjOdbO1YQJlm+w15aNHwxWoLaGptU7ZtgEWIoehyGjYB2Why4N1Us1jYA2Bi6756QxGuOH67bT
bnasidgYW0s+13by0o5NdqvyhI5EQh+PLde4fVHWBxr8rL0LQXzuSP7lzai2ABjlR4j39Q3IeLKf
Qiu+1LTYHuYG47oRVHPByymHK8Wq1Um3Yig//Wh0Xzl4vdckkMFhqTH1F5wt7adKReuwza09t5ik
9jGYtxfChxHMpgJCSZDVmwwG+VUvZ+tnMA/FFp5s/CEwW21UoYr7gk3yA7Bo4yddAfat0c/9Loi4
40yj234ljUJ36ICduRvD/DlKrPobm1T5FZafeYB0udiYJ/zGYHdTMJd9qnZV22bcnIsMmzeLTaN5
Jd9YhKdINiG9vknmml9FGZc4N/nK52YOdgFwIYrnwArvzUnv540RWeW8F0qboU6QK97AQ926U4Q3
hTB8Dt65b0Z9Heo1xBo8Lyxp6JSlsCwZ4p+800YCfBjpeCARlgL4E/M0nqoIf0QEKAHucAX6yZd4
Yze9Axvn3FXgmGY5GUSNTGJkCx3FPQS1a/yg79i7xXkzHFAbg6dWsurwE21Qmp8UKtY2QQCU8wRV
IPgZ4e9zcMF46gTiUOF1LDrngG+J2QMgL4gt7JWsdiS+kiDEF1wkY3WlMLUVxyh3uWxr03fmuEKQ
FOOFQcJhFQcp/50k7nBoZ4Rv5Qh8Y9zzQchMw9TVPiV8xTNvftwy+cxmfY2fxJO7NOjQv/plVYb0
jqtjDfesI9UG7xUDh6qM72M1YC3potTY5qyD8E/3dfddK1RLkWFamU/szvXnOkY31mvCVHHPWCvN
2fM9UFVb2ljbGxh83lsLcu6q16OX7KTVoccb9hzM62wOyt0Ujjhh+Z/FpxrrXUncypGPhAgAJyiT
D/2qNMkhT0nDD0DfaMrYF81sTJTBKm0VpknO6NimQLXm3uR5AckMTmaZQm1YBaHVw2Wy5Txu3U9L
fG6X2OPxRbS+u3jmOXqC0Mflgau0XFz16eKvTxenPX8yLGCL+95Ms/FcL478mEs3HTaLTx+QAYJa
FkmtI8CQFwDmKL23Fnd/tfj8jcXx3wYTXQle7sgbBG37aizZgBC9+IzrRPE0naMTbFuFo7qPUThd
rDBr6H5sEb0lcQBokfCB+gwimHhXlg+6xiWho2wxhKH/lkzwrUBrxEQZKMJuP5pJd2/mz6iDDnBm
S5qdm5C3ZCFyExquq5cdrOJyJzt7vI2WAAVdpuE3oyNUgQTpMKDpDOZVhIiLg56WyyWI0UZhdNM6
SzpDLEGNbIlsDEt4I/rMcRBXxexjRLY+M4suKyzTai7uHJ0nc8HXDRzIfd3uUOvIiDgiemQbqq5I
E4RAIpN8tfiMlcSZvJqfWRPlaPH92OHwnHBJMIRMG4gkMCPL7J7uE8Bj5WysuZNBVyXKwgX2FVac
5StSLukSd8mX4IuZVHw/vtDeksljC4f8vZtTW6xzws9bc4nDAkIs3FsV4Rtb2S0oQz/9zNuUNh0g
5RLC4ZRj1VvypuIexEXoI18COxA3yO64S4zHFgmCAYMY6R418APRiZbjWYZQxpax7Zt3jEj4M0w3
7l4pCcG1wdIMB8ewmDmcxdZBSSgOjxrLL26PT+dHNiCsrtgKB+pQxDYijgIe1+Fe7IsH05zqUzt1
c8/AzPKIK5/FeVj1MSsUqxVPqtYxG0Kuww/IVcVedRR3s2B2XTPeJLVuv87sxe/MJlDfyB1iEa6H
OD2GrqQksxPcvjZNq5dfKZNsx42BikWYGbn6tm6r+ZrqzbBvCsd8pM7Fw9QuEnL/tvvMyoaowmj0
GTZ418baFpANRdeBUMkfjwd4BRAxo62ZsvHm3UtFHG2HWeT48VQyPeCIwCjKjV1ApJkS3WI5UDbn
XvOilibbsjxHSV59dDjseMQnxjgsfxeT52obNdnasE0eYvHAvvzc1CpTN0Vu2vRch1pPaCcfhplu
aW2ipRjPTeHDTuevXk1solcJs3zmp1yIra01ReJhYG2tHdkAkodKBiGGI9yPwd3izuLSAbz32A9O
5nLt0UduwOBDMVaa6bEifkHXJlPRIxAYROtIt5/4UCfD0aCG4ZTjZV5aVJOUR3rqfJ3AABSnkX1A
jXVKwRWikR3iiRt7rNaQJ6rTXGTaT5dOztGHzoNAgtW8SfE7EnhcCyaHYYtDm6gGfxOvOUYTolSW
Dck3NvtDfJ6jznYPVqfCQ1Y2EEKbWnvXDbCe6VIku9I5VQ7TqHgUl1TiPkuFU5gpQeue+GtXFxy6
iCVzLrsDATdGkDYTJ7RFACNW0J0hK2UxvOqSrSu/+mbihyBnbZvjtQLkEflOhG+ZoAQRFL/yausR
REFdhf/JPGYs1Uu/OFpMpkxPJ0KKO5h6CNNctNFfxrFC9F2fxWYH20/PDsB5oEIXDzVbaenlD8hn
HKwOehCXzB/g2ee7v54Hfw//Ld+erNQi9Rq6Sczxz98+DVqRp0rrNk3Q0mY9V8WZFz87/fV3+Zxo
f/8tl9AlAUu+j+X9NnROLWBDqNk9bN6OmXDoqxCQsGTBZEYzbuZ0qGhbFV4RvZGE14QvFB5btMVM
PRvjZB0mqqnPVI529ykpu8vykhFL0zExqGp6FoJBAZhPWKx7zsXuVuqse//WUvJ/OlT7/5+1zDZc
pIpl2/AXmsx79hMJs/j5qyRj/PMr/5BljC9ScHf5ZxvbP2QZ5wvWMdQJ7F0Yu+ylA+bvaw/vCzcG
x/Nw3wpU6aVL7A972bIRobjRW9bLmEws+o/+hTI2/sXfPowEYCVRF9cxaGdkCfPbIiJO3biVNKVx
BenubUw5+xz/N8EOq996Wq7eE5fwlMaKBjttPq2dMWu3Q2TLPSeFhMOWFPpm4H2ZoFYr666FM7g1
6Cg94FvJ0RnS8eoEoX2RbugcOIXKLfWj1lsjgnLLZiBx+Cer7qXF8wkkmVW2jnIa28/MnNG3rira
S102DHo9FhcqCnrdPTnj7AJwUMQemXYJaSQJZllmPaIGvalh0S0UXRtzwyPOPXGlHJ5tWMprABco
urwctG4MCP/7BvbrFvxZRbq1MZsDQ3HytcjZqK6L2lYzjVcjqX7NdLViXcAkuklH0wT2YRoVsUPN
s2jKduNiN6KlfS0affju6S49l3Ssd4fKS4JHvYshHhLXBEgS13Z0XQCj5arXEHBXXSTjm44T4Fuz
rBE2wKqwrKN+rAY1XY3JGCC1tOq11PP8h0ZCBrhP1rY3tCxpka+KbCAXaVjfAp1Sjk5K7TFKHf1Z
K6HqrBB+hwNCvyLpGMLdButN7TI7m3Voj8sPnsltlfKz9xGSROk2+7IX5VkH4M5wPmbFC4I2bMRI
54rEbUnwQ7qes9LpOtilNFHciNzj8p0600SMd+GIuBpoltCy4x3GF2gBEzUYZhS4kJTVscRPzl5Z
YArC1HbfjzGwViDpxmqsZ67acP2CddzP6mcIGfyoJkddeEP1CRYkl5wsrihzw9bGwUni+cPYcnUh
V+hT+GPvHS2Pv+HHpQVj1OqToXH/1DQnX+fuWN84nhvuSmwK6H5K3kReqm+oewr3pBdhKZmA94QG
AJ8KP/0H0Nb5CHQwuC1lkVyoj4YZVyrnpUuLcUvmqz2kpYj2ZEUe61qt4YTRBpT00S35SnzWXlN9
rSTP4rB3zZ8xsYtTTAfzmsRAubW55UiYJ0+6Xn3PSeysDIfLEX+mb+Dx+6WYpSsY3DwrfshHtW/G
5LYSBtVI1tGutqEzc+0osoVpSDFN3Vc97Miuqtbc7SBmVm0YP/I5cC6tkdv3mB1tSEcUCh8zIrjP
raO7j2aXlKlfSkMSHM3JD62qcamEATtBdrbW633Ke+qq8/KhdHaYNtGnYjaB8AFXeWmb3woCM1cr
d+XeaGqG5SmHDxE4Kv6A5FptG2I0HeJD0L7oWc7tAyS3R37B4MrcxTwoQltviLha9nSLhyS6Y7Cw
fScJdAP0kBveVmMdMj2jXd2PYOdYs0yIsCjYw/cqTqprHIO+nahCv6Y0p5Pal8PMv4S1LRt6494T
tbN355pwEpGH4dH1RvG1zx21t9U4vXhZnD9OnSibvbAT84X3d/wR2YOUK4oxa5csvoh+GniiUM7I
HRW0zDjOTWLWxWbSc4GFnba7eptSVLGjP55IeA6oclexbbzB2CQfh1xQ2tRY4oEIkzw3Wi34IenS
u43i3shZhtXEwBqohLseK+nNrBLjbmhCe5eouDtD1cpfE97C/FUDKb6h1HVn/LeSC9Nc73EfEz1A
g7kWRQ4zKmumgtgXqaCTHVQgZGoVnixjSM5EoClXYgVNkLnRDOORuLuCbWRnGmW2hnOFzZHfuU2o
3+P8FxUEWFtGR27Dztcwy3W57kF9vKq5nNd6TujIoZKxhs5Yr+3ePSY1eTvGshIqJ+BEWM1ame6I
74BLwV4XHaWeRXvlFVcMU3DNDc3S/EqSuIq8ztiPrpETKoHTZ/HB3eCKincN/2dlqLl4aEnSrTo4
IYAFvJsB3NGFTJv7ChU5vig2X1uDnDfSezecQjsXe6ez9Jd0rtPLMGDqTYoAvGduOSeme/6GIrTP
gVenKMIJIoLTFqdimkj9llavNtCzX9hMlpvM0Jq9pB/hCdDs1nb7p8TGfcRHn7AToaKoFixkk3R4
M8v4HSess7FbuDsR6eX1UKKcZ7I+xppZ76zeMg94sG/o63N8K7C1OzLEzp5EVHEIteCohw1MOfih
+qbLtOl5qhZZNCCTeCcCU8JSDLVq05jCZ654JD81bnNwVNsyqp4zfRIHqjHIgjfxyyJlZUfGYRy4
ldenvgpNdD1kuHHbkZS/NwYzueAsrBBYqu7aCHFyXOtHP1Z71APMpu1M9H9EGsknrFFuKc4GDnOX
DS8785XdeIjw1NERvoJEBUaBQNOKmWMiM2wtWZxI5z/2lCnv8GYdiSqyjw+siYKlOeIKDtuvm/IV
iiE88ib7mU9ZfrTZQXyXWcW6GqEvvlDsMuyKyKhhB0qgRXWXNbu5Vi6DIa2aa2cY+1MehWm+xX8W
YkjFAj/3mnxntTvES10CO3KzorGn1bUwW1eqpxKT2DrnQCxayIuTICgNO4qkR4Hn+caxO3UTp1FL
RIu9tAN4Y+V5PVAtKS5l6d7wa9mEy60peZStXst14HWYQY1Ajd+CIHrzeLt/ny1oHaq7WJHbb7EO
JrACgvoeqngMCM/K5eemiV8KAJ1OVdodEuf8XQtrAA1ONlK00nhqpWczyCzVYQzzGnVxIJe9tCKl
/IZvvAqNboTTJvFS55oDwL1qvpbOQIbRzja4j+EiNHl/WyVB+C218mqXz8r6kLqTPavBrLbCmdk8
uBm0hX3GAmavCs/Co8VmwuWXJxVpmWZxyxmgdvTFDFfXIgEO28f8FkNuPpLKHY816xFf1jW24dwC
glE51hlBugSMKeIF+sVrZSErvora0vcAJltfWjPp9JyQPl44a5fCsZu79OtkEyDoLCDxlqrXlYS3
2Fo+9gKioWMBRczN+02vmncW79znSt6K6WhvBEMO6QLKdDuFv9/WfFtMd5qsSc2Xyjyk1USBdh6U
P3FgsnwyuVJYUPTjjVvo26rDKyFmgS20cd07nCLGOYRmt83Z21wKtMoVEBOxrbICpx0QZJZ74hoO
/UmI6cMw2oggFMcUTUemDXs2azfmbBFZFly1rl5amtsiVPWpAxSy04BQ6q3iVPEaY3jsgqb7Opl9
RoZhHLbKGK/6Erd0vBaMK9RxNhk0tbUqlLgXNBs9rfK2kkdZtJZy/M4XDWeyRvMLcCxIKjSDbU2c
8me9SuUTr/cSFrB7IN1VFTvYZ1NzY4W6tqdxKTqCX3XuqoGzPGDBeaLiIb0RlpNdJ/Ddd3i23HOu
F+l5YOuH5b9KrVs+oaiVyG/NmTkkvytCYb3POtK0Ce38Ro7CuFq9sI8E1qx3Lwo8kMfeYtGI4geJ
oxebrk3AEEhG/B3MXXfhsZkdanRMv62dV7Lx3t4pQBWEZtJfO9Nwv5tmB5MyKQrEZw567kUyqS7V
VMOabgjaHso8BDQeWdXE0wPcKz7SAr9L2e+9xrEPmuVM93iC25kGpf5Yxk7gF5pXHOWI2VnJtrgZ
SZWUthPcUnGefle6W+/p8YkxVcgdicMU9Sqpt05sGxuWPYjOkVFeGyfhpKuCcFNxb9rQOwaz0LNj
PDip9aQzyvAyu/+buzPbjRxbs/OrHPjaLJCb5CYJtBvoCDImhaTQLOUNIWVKnOdhk3x6f6yuaufJ
0652Aw3D8F1lKVNTMPb+h7W+Vdw2Awce9WP1GrM2+uaVeXYyIswRdttZZ9foa2ezEJtMDmISxXeR
YAFUDHIIRL1M38M5z4gC4N4LXbKBkduD9Xe4xyeMBleV0zzJfoxeXC2kyizkuike39o2Oi4gtViz
Ql8u8ne2YuOFGxUmkEnJ6+v2gKRE13xdnwnaSlbKfa2+J4kaHjOvLk5pi+xjZPB9NG3DODnTkAei
y3DgFVl4ULG79fSaA5Lkw6OT/1CgGH5Ebm0eU3yKLiUsmQ4qb7/PGmGCOewKAl4wD+yEqgCvA68O
2ElXu3JR/PosZd1qtsv+Lc7aixrKEiRbVX/oPDA3Q2aMiNJ6RGUiRaJldJQTjacdemfurwtPj7dT
lMwPYZh01Atp/p4Z3sKPwmqfPLf4O82YQOvfGj4ITwsfZN88adqi7rNxcYgDKk3jDawJwSNMvnY4
fuoDmyccPImXY0VfpoKmp3eNS4uZaBuOsFfcrCq2o+dlO7eembt7itUdndyYbOuO1wuUX/Y6l5Pi
yVJyX7F4YW81sO2NtxIRtFMhmpWDxECQuF/kWKIG8s5TCdKGBIbtNJJD5yUMuh2ln+Bj6AHBDZ/I
ag+gZh5dptBbaYzJJeFKRAhdzjDZnGgHaqMhDKrqj6zv+7dGr8Z3fAlt4GEIftYYgZ1JyQ2/a9RM
q/C5ZADd2lCBZWSx6RgJyVry+ix7q3hz3HCgNrLtI/mCzX4wNXLwAFxp6CVEoh88LOntpkR8dm6A
+kLvSQpvL8wYoTuUy4RSv3J3YZu633Wyikll7ABszOCGv0GlkM5GgwX3XFMircIq76ZXS/7aTGOy
n1EDH6Qwp3dZxgRD2lkJtGqYIYWjir+LNA3rgb1MdxouLNCnKoMCwMQ2CDNnOS5MKu69wmvfozlM
EEKp+rXmflv5pebRma1i5dWy3+iFDhW6hzsz9IYO2bep7nq7B1wyVGP7qS/R+KhBK3Y2WOO6awnT
PVADWRobeLvuG7KLZu904isBYHSyCI6CyDIn5sWNDH2L6SV55uDot63eDbFfa/ZwPTkL2U6hEDtt
novXwc6oXBcnv5S83XFm5xVBJ6N9k7eYszZLt8zkkpWq2FjYky8ZPuBbiut0Te4jHaBNBUcNmYjj
fYRE2iOUzc5x7hTuPjOW9iGtqWE3lHDFoUAE6nt0MWciO1gW5GX3JHWN6JvVPTwTlPdspcgkwjY0
XTbfY3pUpRQbu1PLCexDfQInq14x3uPaowq9G4TiNiHb6rkQU3LyRiP9iJyBuyhUyw1U8xqlWK1H
59bCiVB25JvEBqwCO83to16PyC8W1o4VFGRpv4+WFtcbLzP190IaGRG+zjK9WBkiGDJOoZ1uHKTi
TbCmtGIp6Qi+qVi+o8LTlh0xrvU193j9Fk9h/Tw6xCcvtUVj4PbdZnZFdYvJ032STuacXLjYG2MY
WTVporhhg0qJla72LoQHyfgKSVP6SATj29CaCCKEretAzsrkG1xnjaJB1zd97eZXpBBQdSYpEjqA
G03gNGF6STsZ8dK670AlOcFSbb8wtNrpMz04PwcbLzYVozCR8bmcroybsw5aBbMHo+BVMjDMo6jJ
iyczB75YZd0wBuSTyA/Nor+YIClEvpdJMiaJJ8fTB06XmBjSGLb81JS3mpwekjDNrxPIuVsk9OXW
noiz/NdR/f+1+e/6hf7NW9z98z/98YVXkuHf/SH4XSR3N3y28/1nN+T9nyPN9W/+n37wDzbif6Rj
t2ykbOD/hGWge7bhAP7VkNd//9G+/+29/IH4Lnpv/3Z4J5Iu+du/8D/89+K9/P1DfvJ3sjw4pf/4
Jf4QwZu/CeEIC98wbl6Hb+PfpsH6b8xgUWo7pmOCs0LO/uc0WOirQxnhGh/g25Y6M9o/psF8SLcs
llJI53//lP8pEbxh/joNtpkps343mIFa1H/eL1JxHm0mcgBwoVk9DTM4tEdjF+1iGhjUaJTm6Tax
d3p3bz6VaFsh4qVPXZPskuIFLJyf8MZxR2urZ8U3Lxz9LD6QZMqsc+e47X6k0Qi74hi7H2uYcFxH
KBuSl0F9E0kPw6GVIKEf1iGTEjOeu3Znaqfa/Wqnbb6mEI+U4j9w821K+zyjfijVNUuybSi/mKwA
D6RuhQdiSLjiZLWxgboZi9JHiQFUet4XEnMyuFboM6Syantdpu0uXRNEYf5CsvhWevS5pfrQvfKp
6/W7olliP0FwtbHNuQ6IgCar5Huf30oXhAORyD1Kuo4DWiEvaDY4wlB1XIw0fYjy5WiaSCtmcdCs
4oR9NN/K4gz9CTZ5Xd+yaeYSjZhpw5yRqX7JDcAnNRALDZW8jSOM8bP1pnOs8DIFIwCiinyaFKGT
1WXc/UgXe1D+svUZCyE67C+9NG+M0PyeOfIyVXyvAEts5jnieUrmp4rTk2FtEFlsvhneGZtYOsVG
jnzWKE4uUVFzQdKJbFh93zTk3qbT9U9vm39HhUm40S+bhvVNoTtIMQ3DsRwW8Hz8p7VfNurdBBrE
C6aleGIehHnO6i7oSg6xWpXPOuM7R54Ytezz+tZGRGcb1lVPdKg/6ybOxm4dxYXeUSb5IdP0HaqQ
HeAKwFSheTHHajdN9sOqaNjQAfiNiValvEIGuG9ryCUzIjE3KGemXMlyx7qTCHUVtAb1CC9hPSdf
Vmvf29kb5fWOQIptAlMZstwuMuJtSzpvo/AdoF5kBu7jl/dXEWO96JeW+O7RtC6z7p0lt9E0D4zD
in0R948pli4eyf1C3WB8k7if02U4NXJBzaVYq1QR15EzoWbkqUQMs6tZA7vltdPkew2bN0PWj6Kf
D3muHyJQFryXOh2jw3JekPa7oMnm2t5VMD8KPiHmyqRbucAnjosXISLs8Y+iba/bEJSvoR7L6duS
2tMVgM6VWG44b/DQBzKM8lfyXALw6nsmoigYpLUzJHhls/1Bx4danlDqaB5CfIqVjXCIoKdGwSeR
y7e/fkzEr9vZ9SkxUQujcBA6io1f1qb/ixssq+wTOcALm2+qFeNb08bbZWxPhtPe077eLMN4G3Xt
MVXTOhDeGAxecMA75wzyqs9kDt+7dxsLEiOS/h4kCAubPruk8fhVk0n5198207dfnm6IDw7PNwc4
p7+hu+vS+6enu6M9qqmNQhQGaGVSYZ7CjG/YrrYTOWow2ODo57G77zkX60getIJDCinlu3B2U13u
mzhfNaEAAhFEwAp0HJ7ZSASVSA6M3NgUS7r1ZHzgYN2b+XRJ0uGh1oynxWSy0oofkT09FBbafdPt
KSYxvhELzxeWfRUwRedoHMUXCYYDmKxeO5uFYgyyClXyWt3H43hRUB6I0GURIMtryFcpywrvG25U
Y2Nm46M08ls0LAtqtPqLqKs4sM36UfXalwfTcusm8ktq+QM461fMp/t27PKdbXzVebKPGRp4RDAn
UUMysIULwtv2sf0MgmFvugwqnfZDYRaecVQSnheAvorIf4KYy4bbfilrSEJJfLCIC2TsdK1ryaXr
uT1qXfgAaA6kF2YkvjCrZcbS6PRboBiXrHlCnnc7CDqskYjYResPJuPrJtIPdlM+2LE66AilgTx8
R6b9kGMlHYg+kcSWEkTpy9S9RKV+rGp1UZbri9x9KAyQl0MhfRTGgWd4lGT2joynHS/9WTfyQI2K
WyZ5yafmMDpD0DtA92Zs2uc+XGB72rvew88CbcvoXtPlIZSopRMX7tGVV2dHptYv7UoEn1c2eAok
vCmLvZvB+VQM+Vuz/4K+tdq7Lxip/aZN30hYY/zeQRsXIv/dKtJsUun0L8iT7iqWToRgNxD0FAL2
erwkdvq9yS2EWfQzbnEMNe/FIpqM2f0PN9KQJrF9JB/rXLKnBC1QXfomOwDh2aXEA9Di3mdRemWJ
WfkLvqqG+ddWA18XwnyiaN91qfLDqCu5mV4JwjmY03QoiDNja4VKMOwpeePyNSI3emrN5xySA4kW
r/bSPE7IkolJHY5N6Hwtwrwi1JY+rKNhygkFQGsIxbhn19hGbh7Y1nLOfg/7qW6LhvLCafV3C+d5
QPrOfUXwMPpyNKxD/6rnJpgTQCHbxJsvrdU/jYt7Gtd0KZMcaS07ZsJ+xhZYbnsDwFCcPhqdfB3E
QBTU9AFR1AMFkvtGbh40NfmTrl8KGfnEkz0zh9y45NK1lncPvQvB/RvtDqQ2ogDC+AY99J1ZLMHM
047I7WtJxGbmNzZN3sM0r3O7ZF/1BOYZDXleH2PGiGDRv024z/AG7IwBvTDzf+Z+uMhs+z70PhGA
MjQMLO2mdW9qZnDmbTncM1G+tFjNB5PoP/N+nMWmT92nAiVgRtVRLf22RPs21pMv0s8ML3upXGzu
r473qJByJZMFrJn5BJw48TZED05U7KVLoqh1h5t5E3WKEAHB46KxpL+fRFKj4Tzr+AlotEnpmg8J
mdets7NpuzOsTl66clxvDfWdOTPjDfO1h0MoZ97XmXh1vQvrTWhgd3o0gJ7LYqI5RAY0yvaj5EOR
FFcMXxOhmoSlf0ymme8IWv3QarJL2uiQJcaPUaWQH7y42GSVhw8OzantKV+Qf9R7lXtM2YVvtNFD
QxoVz8msRcEkZuuH1gpQjBqh0phpdqparuy2fIyjxvGX1Hj0Mu2tmueXKlseiXe4LACMt4zJEzBS
Jgr8PssDdgUla7Ry8EdVfq+GZe8uzgGv1EYWCaZ/l3IqiqcH1kAw2vQ6UDqy2FS99/jCBpbiJCOx
011h0tL5QO528lT86c7Do0fA6rZJBZKGOfKrjtLEC4sMQRR7U8Im/XTsH3NiamuD6cZinava/CK+
Zpsa+6iXJ3bZhCy318hoOX2t65j0iXnu967ZCN/CULZrLTY1FgxsXzVe4vd2qzEnh8KeZ4AT/3tM
clCOh98LajTTGQuADRXYY6IXyLzJuigqNkFRFxLGapz43SRBiFluI+pwhiYAi8Mph2Gj4+RnliEf
fr9m/wv60f8HO01EP8Zf9paX4cfwPf5s2/lnBdEf/+wP9ZD4jYENFmFLt1ne/Wzqsn+zLdY3ti3X
Pvb3j/ypHpL0i8IkrRJVEah+iybzj37RoMsUsHw9E1HS6uoy/lPqoV9rHio1l37UQd2k859rTfRT
zWMzzUMoOpBJ7tpvIb0Vhl2sD9HgbHOUqDgI15w6zznXpfn9rwuuf/Br//KlfxHxCbbXOF66JvCs
bH2vdRQA6XKos/BDETz7H0gWxa/VnSNoW0ya43VnYQnxS++ShmPKqLScd2OaWaeoCXv4Q07tYxGl
H+vqVz1K0z2vNF6NnEhxzxlJ2Kl12x/l8DpWBN9aS/QMIesy9861nU5kD1MS9nr40nDw8atim5FU
6ZVhll3w178riGS/vFCOwEGPW95ZZx48UL+IvERbdA4JlWyEgPAcEGbSuFa91m6a0ZoDrV/Q9tez
6yNIny5Yi5MHK7RvxdTg6cVbxiK5ec0W7ESpq79pVnmOTWsvqoxJIFzvuEiO+BFSbPP8XVGodFO6
y4LKx91LxprN1p2bY9QInSnrKiYKc7RGWu7PY7RxFnIA9G0aJ8Fox/eWnR6iWX10mc3ULA5GwKJT
OKIqSrI7J87ua0QqVvMDJCZ9y7T5xjZt2TtEqfq9WThMBFCkbQxKKc8dBvTdEowLdGrfdvlhptJ8
tlrD3AuCAR5lpt+VWs7K3uMrm82YMzSd5ve06J09MvNpP8V9C2kmn9ado+5spIFBxTIGEqFaR22s
XDUH3cminQ1E1LdRt50sTYVnl4ptg5K4u6iR1otY0PLUd5X7jQEP8qsyqW5dG1/C4JFNvoGC/W0i
PibAFyY+ansZP+uhJzjMuFIiVjcYC6IYSTh3IswNMnelWE7lwJeAGQ1OuTR26ApwIyXpjySq5BHu
JxwcwWLTkgaz87qF+h7TkORvqyyjsbynaGTo6/DS2N3cHgzaoy2r4+SgijDFCt4114YLwmaoHgF2
lue/fiAFB9AvCuB1aiVNpMCOwHe6jqF+OjhwDhuENpFdPuR5iaHOXqpyWzeYWLalG9V7ydH1mKze
r2V1gcWE4NFsug1W5KSpzq5jPk2CCGh87VcKddHntNrIsIHn+84Ou630Ov0+NqvspWuG4dqZQv3r
v+om+nnk+c///yljuVF+erH/IZOGwWjMwPTSvv/47OKf77X1LuLP713/P/6bC3MRQ64D0/B35OLf
eZUdumiTdxKzev4SB/+f15r3m8HUyGEb7ZBcyDPz56UmfmNHhCSWT8c8jPHon+PjP+ZSTJ7/t7iM
f1Cnr1+C2cYaciMJxll92T8/m7LLtdEY0n4HIE51D/Hguo+Lo6EIsCtP3lqkEAIcNqpmR4waZBy9
TwMEFbb/06/t35mXcR3/w6mNBBjPtIOt25Km+/t3+tO7RLdHmYDQYwaAJfA5ozz0Q+kBM4sK8TiQ
hnyepKSCpCgLyeqr2YK7ucfWLp3sA/8r2WmQvjBZxcU3O4YmVrKsxQ2L5M8vQN9f9H4Oj4uAzoRj
ZLiJ04RiOsXxEViNJu7irqVnxwZ1dOOi3WoIZVlYRnkYaC1LfLTNc1BitdrG+oBmXViO2PWS8Fok
w96VHDK2gJ4gQBx4BupXhQfy2IZyemdJKlCtWzdFYmoH3FQs15euN98Zr+TXNgkZLViPfCAuVG9w
XPTbBPzPh2n2yw8ja202U7q3r2ZzZFqoOuAhaPE21PvIOyJVffSO2x1Zjre3sdUDLqkM4ctVmyM9
q79E0oQUW4oZDZx5yqv6gBKVTT7MbQQaXk77bM0wglNDvhoD/MtK6uIpVqSuD2gt6NFNOJZksp0b
6Ir0aKG+n9i6+hXktUNnMQaMNFMdR9SEPsaOXTlHqAKsZriaey25GQDsBrVq6sAZmrXlYS3NbkvZ
QdhzGyOL7B/tBt+4l6xAvKiJH/JS2a/gs8Ognbs2MFtdP9T49fjRmsuSgZwvpKauIwCcj4OatBel
mnEH6Tk8CAtvU8sUKWiqOt2aSzv+aIrUDWSRlXcWIk66L6kN16ou2lMSmWi1pNh1E2GmMWLDUruC
pUVM0aRhztKdW8dcQSB6FhnbRUfoW5QCoHprYzYsvX1mgv/kwq19CwImmRBQCcMl23Yp6DDi5CDO
086v5lTSGUpfIc3BXm2xNu3b5qbOsv41SaMekDQAsCWKYM2XmvbhLA3qp7GcbwrbQ/KrVjU1jxVg
qi4LarOD+06+44+o7b29muroZRGaWDPSxvkaLdxqAayMO30yjctQjNOtXmvLtmE96asFvHHhlbdJ
nrfUMjRzNROyuzy35T5n4HWH3iUNmkVLtoW57vFBwV2IlkQDQ85zYALDCsohlUe0gdbWjpvIJzQF
jBpb3AMb1fo5xzDMq0njjiAkDkqv+DIVuCtDecVjaFFJONQTxEDy2Ye4kYeRCCb4MZN1xP7v7ku0
N4EJj4A1LuDmLaknXoBqE6Yqi1DmIWZyYKBOPx/N+rR37Apie8YGdDeY9ojkREreawCHfK2ekAiW
cCQPKdF2pzkmiHMwJ3mbdBpjA1pyvexupnpZ9sx+7Gu3sub9ijX2rVEa15Eb33ocMgEkpVsd12Ye
AzGN9HK4Gg0z+U4EaPxVRLQCXt6XAD+XEIC00m9BwDevEaf+gbpXntpxrBFcWQQ3lqMNKtYBFM63
vW0GO7yPSst8F7ULlizt7UPPFf+9Rd57z8nskhxRtd9Eg8DQQDO8JaqniLd1gpkWCVsksyOg3+3E
w08SnzMM857hUqH8OEqh3DGnHXZhDL/a7gjCukH4pkjYaqP0elB1hLRcS3eI0s1tDG1/3TcAKjPK
1oFo3ujrnJOIBzY/poKJmoTPpqWFt1aRoJAVNqQ2HJkrQBFFR2+/FYY73GmiQvMt9K597pp6YRwT
RreyJ0CFy2+8DiHF7jjTgAui0kD1XsRvtVGO8GcidkpFPAJxmUz0J0utymhLOttknleF1smxrNAK
zNr7nAkPjI51WcLbY6pwcvPOfrUSD9BBWhUIYcDMUpM7cg+8HvoD9WH9lWCUrInkavsvp6Nwh7bf
vxaGNxxqWd2WsfbSTKo7lBqybNwqMLuZ4DF4AEoEgV0iYFnISXvLnUyS+hdH1atVtPnRS2e+gK7w
TCuyIokqK4+4VFXuAxxkHNWTznUxYjUaeyyTJIHIdB69c12ERvYpNbsb7o20sB7IqTRRr9Za/d7x
VngPQ1E+V8jYr5sItcgmZPnHW6jlqxXeop7q1GKSoTWh9RyN42tWeNrV7NpTeKVbREhI7BxEtaI/
3+qJqdjMr89/VLdERSGlx45eogxlWSa/jFnY91yFnXtUTpqnd33XwRJwjORhaBtKAoPcN980GmGz
YvSaL7yXpk78hiNfymYyv8/KnY+I8u09A3t5JefR/cRdbKCMEXp60GjQz+HKQGY0q5oHEdvyupz4
rWZZ7uxHg2B0q9MaRq2hbN5wRjb3Fqf1w1w0zQGqz7iLukiQK5/FrmR15E6oeULzQNxyFDiEh++U
FTpg5pXzjH0jd287I3TS05jda97oElRH/2dZWRToWOlR5Xt6o79UXpu8KTsFldGyIsPnn0e9GSTV
YH+TetyUt+nSpFXQJyUxHGCc8FCgliYbAoMTQGnkMhqR8nexstVr3tbGk6kp86HqjeLkGZ29Q+dT
3Ya5Fj2VkBGOVDUZw8qRT0GtpVIf3AFZ9lOi9k0F3IMtItIzz9XubJjJACYHJBRo0T+dhKQvd4Rq
shVROD61k1ECXkJoSBxVid9ozgrQW8syC/TB8Yg7Oiqq6ZAaakAZHR1DpMAfsaMpvyL1/CUSRXdN
REWxJUiDzGeoNNuRX/DaXxxEwcpA8ybUrQyCb4eeZL6WVSl0Lb3QqMXc/QT4Fxolwo6OaSuBdizY
QnKXsPSqAWE6XBt1wlkUnyhnwDcJI40fKRvko4VgaNq66E3VnnmCccmafNmomSykbCF9lTA5s73n
X+1s6MT7dpjUvC3s0gcd51ypqJuDuCL0xS+7tnutQc4QGWbPpAOLfhdmeM7t2PR2ZUO8cmU4+T6s
luh2XNY1hMUzasWte5Zaw/w3Wjf8hIJan7F+nNryVerDe2izyjKzk3Be21GZYpuPIYllJNh9UF/i
5DJsBsrlNI/I5efmAjsrDcwszJHZI3G4IeNALnuGRMhbu8zbu1qW+lFGxGga2tYB1p7c2zrrD6bz
Y3NTIYrcuvZA8slQ1AFdmzFfEDKKCnXvYl9LhGuX2I4ZXIwkC14lmZc9jkMY49PS9b3NyumYdnZ6
GePY7AJyr+fPURQ5LXel0he391Y5qJ0mPq25Y25TAIaYSwx0kkEFLXUKphJZYQjZHBQcKc6E2rss
rbdpUgPyDsOClI0JmfFStTUg0hYCnDPoN8CFAGWrIXueqtgUpzEaAUsoGHgHj7Rs/Gl4188M5hB+
GmucAfbhrRwN7QAS2vgYusi8WEp01NXdrD9w2iCto/MdakKEwE60fRgUY4gWLvLOLWmQpsMQmqKn
3keEtpyVDcRMDHiPQS70HSK/Xju5KSlKJhiaxnQQRsyLyD+H0omw3bs2tz+xI5t2sugehjmcfSzw
rJ3xfm06bdSfaz3xLlxwzVWlKyA7xM3vdEsMO8RSPBNTFX6RtZQHGfzl24nwBQpoZ0i2+KQMTtFa
e9bkwhmCCyictl5d6vusLvCe5HZzv7BfDrEWCfOmDXWWaN4yvSMYC+9mTvG9iDSGzojD10ykfIvM
+rO1yCSTsELQi5MsLu0opOhcDCB2CiUdRUGiTHDAYRGkaLAwJOKJr4VjBZKLhhVnkwZFEjrXK2Dv
2RjaG9iB/a7Lqm4PTBcMVEdzc27tKLuSJJxxkIh8OFT0GL4XxeKoW/Z8Z012vrXy8iqv8icpik9S
TW77kRUWfOQMs1CGKAEZ31FLXG6mtMNngodKGv1ymzdNAYqhHW5xURLeSRVwjhcUMsQDq5NjfGQq
Y43SWwSfZFudOdTB1KyYXmpRiJDnYmdwIUWbMZoBCYK4OcgEn0IoSCCJj1Ni4yaX5xZIS7Yk8jpy
IuOqdDFHYUhSRPHVdu3nxqhRMhaEjTSRgdhRPda8mXZWGVWQozBa6U2W+LE7ZnfRTEUbtpF15faD
dWcZBSsz9HwBhD7Phze4agiT9GqYHWTrZtWSWNWX+voY2lvmcXmgQdTxK3s6hLmUe6yNJzfr93qs
MIPEe90ZeabnrQK7iTPAS05hwaKqBdt91UIR83EI4Cpbqmo4Gk5h7FIUCpsIdUe7LTJSw4BxHayk
OTSA6UBXjS4yOLYrkUzzY4g0dBdCbniGxlNpW/B2WlB15KOw5vFedbu2YDnPxkvL9HzrNVF+quEC
+4ZmRNe5ZjMoVd54QB0pvrlYvF+ks9T3VMDpkUC18Tkrw+poksuAsWaw71fXEWelve48yjY+t30a
X8cIiAKdou27YRi00EZNABnhIj9MdjJYSvvz1KQrr9hG3hJ+6BN3nzmzpc4I6Ey0xyYdtCsxj2zR
FAFlGlSa4yQG75pgLe/BhU7ql1HDas+ggB2d0gw603B926nPelwa2KYqX+rhhlEtXaRO/ME4ZdQJ
ZftusB/3C80MtxYt/hEczmHKFu2km9CbyGzsb3py1k8om+9tQvFsFz2nsNqbSrw0+nQ94J5ciB8X
vXzLYtgNSjcOGesu10t3kVYQT9sewgyjW4lMEkPTGjhetGsWxWtReL4A8NMy2NjmLYGOkVvG9+k0
FAevJ4WFa6Y8W5kSPMdtdfTc7Mq14+IUTdZyJdtYCxzbzQ8rd9maMyDRaYw6TC+To+rzaG+Ow8OK
l4LpWI5bQUiNv4xag06bMvyogzI7QGLOvpsirc6k0mAAIxxL+tg3Ac7o2iGGjeTbxA7sI68Id1Xm
hFdTbheB5kUd8ex0+puySZ1zEoFecSeWhp07Hts8wwXlHI0hvjJwoy1m0QS1kdhPde30YMsZWSap
BUyhRf+N2mnmYswgpchNRsDVgLQONvXSJfWzprwc7A0tygJ6H3yqV1/FlT4+1E5xyWydoAISNt0R
M5pIT33RfJYTFBdCbjUyEF0dl6Jrn/TaRR5gFEjvvPqYuhlsaVwQvoADf70IfLPMZfXvJj8fgOwB
+bJTTtbroLnoylPXvUxEku6glxo+mIhNF+V1MDaTvpMM4wfMhpx51atJPOE9UhEEBGLy5rsClYxg
uSrbXU/w8l4lZbVRSudXnxEI6oyAMJWmAeiqW/tclJbly1qqszOH7hk5O+A7QPaL8WmZpCcQjHjy
WJTrmZ/E5gVi0LHoWQ5Hw+cMu9Pc6HVFIS6gziMiiBo0TlhsuTa1rbJzBHJC0wPyLhXOgtGgy9aS
AzfXITPsA/BTX1kj1B53dbYVB2juvKGcIuC2/ZQKzEKJXr5zloOtGVe2OwLNq+ZdM45vaKJxtbKU
zo4N18FDa+gzHM/4bTDFsm0r7dlMPPsWanD/rtlmfeDj5ERTtjg0EEfcSsQexLH2QPzjdWU2fp1C
wnLIRz3jFCVhxRavHOARUbiN/WyapGFoYKl8dzaeya/1UP65xL618Y4aetviXp+r/nPQO4GPYyJF
3mmJZhrY3s+F/MrA2BHycCwgpsaqeGwkQowM8CcmhggJkunsihCaTGHusRe8arVr8e7RsiBRoc5y
xMr7B5rsbpdbePRCZPue0V9Um1PqmUl8iTvzKa28FQ1gjogkdOpFEEM7xxAkNHXkUTYJARaJyBnl
GdbNNK1YJxLs8eikYMdIwxA4w2VbVTiujPFkZWcitq5qlSS8HcuHIS3QW5ankFyYA5ieG7l4U+t3
w+D5Q2UUj1FTTa9e2Z/ShT1gTsOxKerpIJt82vc15LIgn+bqSJzrsNMyaRw1IxaHrCNnuFnG6FuU
Ge2Wd+g7Lf+jCZ9GXTDDDkbzw2HO9UjQX3U0KH2PaFbxJ03jWZOI0tnbLDt9ciB6iDylNxluI5wV
m2Go6mfTYB2ZpTOW7kRzzcCoIQOV/dj6TT3XZ+EwMaNtCHdI3+XDEqsE5O8yXVdQHJllYhE+SpkO
qMSnxC+96YyZnagPxeawMPVoX4swCRzhzN6mqc3kCaOYdcNzFohhPhPW3J3TELEWSb5MvY5LKtyA
f9u9dp2lHQWdYlCZOr59fXG+10vYHUZPoS1LHwpRxXunSut9iyLpWQOv6Dd2eyHEke8rQTCTkZFJ
yo02BBH3PHXyqDF8tSyq8Ppe6uO4WagT5sWxyBjTmvIIXwFRg1JvdjXiweQUR8MZWdc5kaN+tHrO
SM7KanakEa/ZQU2me3aieo1ddPAY+nbK3yPKlgyJMmZC1dg/WLoxzMGeQaxbOt2lJBcZsHeZh3s6
ss6wn3YZAsiXbLGzMyHP5ak0wRwFXcKWa6OFHYox8GXpXmVx9g3WYo/H10RKSaVJQZUNfmFxIyeL
/j/ZO7PluJHuWr/QQQdmIG9rnlhkcRKlG4SKIjFPCSAxPL0/VLf7tPTb3ccOX5wL3zjit1pisZDI
3Ln3Wt+Cgyy9ytTYF2At3Ako9+FJueOR/FLtNcC5RRQAV491MzuscdFgtjZvxuuszPFuNZRk3uzL
Vr0B3MEj3GZB5C/GbZh3WLBnNzeCKVz3KQ5vHS30ibu8+YolydkbrVt/NhF+cOaIzYnwFVo4mqVf
zMIJ7wnutBAOSjD8TUEBZMy+8vBmMQcu45x01a4kxZ9lCAzoCV2KE0F+5lM3+9Oz0TSf2fiL+w7T
91bdjOyzDWtr3uztw83qntXkzXH5rzj6vGk52jVzfacmHHFZzjZ532W/WMQ4c15Mw7/rBCZTb+yL
h6QmVNQY7I9A6NZVt4wyWpm+FfwIZvs9ZcjXRDiooFPMzl3zTIySWqm54QUAYtdOY7VJqZ2PxD+z
XIktgLdWqB2ZcMX3yonx91d2sgT7D3ykhLoYzu7/kMTcB71T+DP1jGSDEQ/tZkpNrFa6TYPORWmU
l96mnCECfmqR11sP3raNUISNEAZ0U36JDfJnSNoqtojC3PM0QwhG2BDf7NAneFoHc7C1kGgDCbeR
lVUOF5sweI4iIfZku1DudPC4kVISVZWw4YFeGE3vM6b8n7kB7SqlBcVOMCCKUjMXwbghEjDvDKuu
NYoT0L2Hzpse3NAVlwje5xIkEJE+rfleRD6LEVPq3TATF8isto7Eh2rfcXWF66AU3/DV+zu3grtG
lWQvR5VRhP0Obgiw7w3KNOBW2FyNzQPAleIlmVEPpsHyKzwtPECV0HZc7Po1xfuljV0wdgymNl7d
ngwK9cbHom1NdCXXypwAYTSFdlbjIGhi2M9RRRZkkeaMVyRq+0hzCaIyE1r4kl8+q5DXWffaVOsn
0jYmtMROcjCY96LdTQWdITc9tsXwaJjI4wMQWQuv742DGYincWjtY1QUTzov0UJ3EH4rRHBDmz2X
WXIGsKbjI6zsxWAmsbGYUgO3k9NN+s4tZLsxqXDYC29ojfaG2ei9tDyK0mqJodCBc5Rjj7nGcNmQ
mfFXL8BO3R8lDtmVVkYCnr2ceLxOsy9ZhqvRr0qiK6cUQOvMCGmjJniQMzdkhOB154s2Q/2RvDih
e3EbKIWdLb67CXmeQ3jy6XZvbQcxtxyti6AuOsYRkek1+Ua5fB275M1RJY3WhvDrukTDll6CRkWo
MwrxJMliX5oz3sTSS3msZ+SJCt3o1TETd4dmk5JmRqO00l+RB++t6qiCJzIDVMjkWoTdZZjBKhBY
kkMyw1YIwsHZkXkVZXcr6b1Am6zRKDgn48ZqIVMMBycx6qFCBDsgXjNubBfbQeXrj4wEO7R16YJc
eI6TnADKJRppnZYj0gurziHGeH5uvup1hPTDm5Ey/gyXMW6cmWpGzvCPJgcm+C+EkmxpEJqbkv3t
TtxgNZoatPeJvPo15yFx8j0Uz7CaATdCtvqbE0tA6UFunSaW8uswM3EGeuyQaruouWdfAJoTdnb2
zR2Eeo+8lnsdTQOBco9+qzMdmxt6J4rt7tUBOHGvbmieMeUhMGPqo3MAn4PA8BvIJyPZ8jkz3GYf
DSWgn3xm/vTItF66yIhwLmCzvytCp0QAe0MFMXrL7kNnBgih2gYmNIU5YCHPj4EMAWyIX7qsl3vG
UZRxRWfGG27UNpLvHEgRzliARR5gg6WYKUaJV7xHuaUt25EsyW5GHYH/T1Z6bb5nFHwM3CYaVgsN
f/u+mVFJyrxRk34nKM0wpRFFDiWl7rwVScq7xB/rzZ1muc3Vwu3pkdUD76bqlPMjoSDfTMp296QT
uXdMWWEmS6BOjmImLGfQUxVnzqW70Z8iFKM66neeHrpda6fhX2D+BGY78Rn70OkqFpSK6oNvp9sU
M2TKm3FT+iAf3Zt3jYyhArQShrZktra1s8mNzlq0qbHgThME7SVsPdxwwc0ZN95ccp5LlKBnBM6V
RN1Wre3ZUNfM1jpzNtmBest3wIys++zmwfNufrweZ56FQ68jQ2ZJRBxQo9m+x0RxW8+GvnDyvxeR
Hm782ezHwq/Xkya6fWmW5j2y9O+ioaO3QKFCBFqvvsKcQPxmh/U6taeHLlLZyqxygR9j6qDHmOPS
JZFpVY9vOM3TBpyDZZZnJoIlf782XsKqXqkxlVtBluxrociBHsJSrkGV9AShGnATM3mwCodbhzfJ
HbdATICWFjzi5mev7xAQBRDN1yAy67UulLxLfJpfAy2wRztF+LNICscmUIBckyhKggvg4HgDeXT4
GrTGRzbRdEiJvL4vpMxf8bKzI6a+jtBYxJeuh0SrHDfDSiFqGAhMURAeJVMgjjFtSW4dxH8/R53e
PnomAx9IHHFI2ICpx0dHjJQEIZ6jVWhxJjtAV4PJGpA/p8Yudjq1JWCXCxpmciaI+9GGJsFi8dbz
Se1x8QCGlKMOQhCA6LXWX4cOPdPQAUC3W5XNg1ns3nGv1qVTPXMzo0ppbbn1UcbeYWeDPj1ms7/f
/Mb8LThSiBAVRTW5JJQwviNu2j06YA6WKkky4uBCdZclkfMFL8Y6D/V+k+DI3zVt6+3SqpLHajLi
Tdo1CIx6U20ZMtDmbCv0c0uqlnrbFn3wFKmB2CVeS/5VhoJeDaic0bTxwLdqUx/YY3VnzCYjpms4
6crJM5FRVP50IgzM+xwh+mToeUF2zVO34dBLES99e2L10Et9Die7u7e66kEj2LCgm3dXYwnY25mX
QH3Bv3wMC6wLi1p3Jv4DqbpNUhF3Kabys+5do1j0LiMVr7S6HxnSgU2rZcHOCjN+XtlU5tagUDja
+rDL8rH9nipkPGuhNBzSoVPErzzfb6NZJ1s0+SZHF3P1RZgbXNsGQqyT5k23E+LiiJyPFz0gaLmw
adPR3GF+p6+gzGvdYrI61P2py0gRPsZxnAbSquqi+9qO1viQjJyPVU2oYBtxMZBWefQKB4Na5ZI9
umBmTv1fj1H82NYo+xBXNxZoUxoBbak/MGvYxD3rN3fGFyNz0h8TfLDnRkjvBxM4cXI64xB3CWJ5
7ttQWnxMAwV7oZGBaiHcQ2Mge49IDQdWURisCgN+QmpV33qRtODdAgUmA0odrWBqhnd6oNw8zNq6
D8n1gw+BcJ0Hl98z+B/2SCAFxIfB1o9hDsp6SFoGTJpT43zVvgZykN9ERL2xdEulQzX2OG1Ugk8j
oFnJNQGq7dYCTrJDs4Nhr+zqLzSGvsbRdO0HkXGMu/LFMqNsH9cOHB+O0/jN4P75pR11xjod5Idd
L6nTuWvAe0/0DHUAd5ZVKGK1TtOhuPhjPi2DwnfvCVD31maV9bupAJtA9ghsZaMJZ7hJ1aPJ6Gcj
IjfRVgM+B557vuCktCU2kycvTLxI7YzLOSc2bIYdDG7BKEPzt1o9mJfS1tXJ05i8tuxHj4g8tOVE
px8+5jA8ZE5o78y2Dd+itrBe6rSFy6ehWmHaA49a02y1bbq5P66l0jhjL6HvpMvcZ+AFT7aXYM1i
BzGRF3ISxPCdYNnGKVBNqP2tZpgnvcsweRQmIp9icsnGLH3C49zaLda+13wmRtyuWtg9EO4T5Ayk
Yk5r0zKePXr7y1g3xNZlN10z381PWmY+OOAbNo1LoLXpTN55lHXJfR/TiAIDpRboof2LzfCboB9n
IoUuNvJHhrTiCSbU8MAA272aflQctdFlrlboChqHN07LMMy6pQV86ckemTKOVvvW0IdO4R/KCcPn
kG5Q0sgtRyl6l3jssDnlj0jw0tNAzbXDSm+t7N5/rXMZrZqkjikl/SF5qdHrPPRqwByPMzJ5Bb3H
jEDzJ8RNsaog8Ux3kgWxLNJAWaCEPQCAKSCtPjo4Oe7CPPAhfznOuQrS2W6S+2Dyx2JPLwNBZlzl
vBFDfzAqhDNTIulvSg/8UuCP+ltQSFQflmV90fCo+DJ4EQPmKpjuxcoLuMWlssHMhh+FeMbkEjEn
jFFD7YA/8f4IMR7HpKLzmg3FOS2VXBYy3VuUsxci7OgbcIk6iTEHyMPlybqrPFHu6Pu9+031bOvj
MQwZGPmacyjqnKGN7ofdLgkG/Q3QrrdpAN5sHdvOX4zOY+NqmUnvgdEcjNLtjvQE0ITYzrCKDbN+
zVK+KL8J2gXXZJhxkkG1zvChmbd0EqSgR2absA6TnanFyDrKDtmOTjRrn7Y0AIZuBIJehcxlI1vP
LmzTKptH8sOak6PcMJPUj52JEFga9Hqa0NkFcU9rL2MUeWbfcqCPWOMBPYHNdJoAaNWGAxELQb8T
HWnPSCyz9RQHtKSEUTzWFBePfTvCI4/y6iu04STCMTeo4zBz3SLU45/uYAWvqkmJgZi4lNKRDmoo
a81U3zNeEl+KOBtXVVzSNYhKbZUWZrp2CifCgemU+zzyiJeK3fiMgJ1G+USQErAUq32gNxC9Zz3z
ZJJ8C3tp0YhE7mC4x9Ft7Dcj7Qf2s6mha0iqSjeNQi7HdMjQbcXMExxbvNeBsA8UKuE7TUJqiGRu
RVl1com5hOP1lp1z8Nu3uRX0RQ9QZS1EqbdfMaiZr3Q34q/o06Z7ehsWZImA3A4pko9Is41HXGVM
DoIyew6SIFozFuB6TyTjwhKV9zSHuG2jrnaWpu9Gj+SDAuCugDgd2ihJP0vDUk8FxyuDGVjVtagd
7JtVBoajTey1lgTBocsta1M3nDVcngus3gC2vtJmce8YWWWgcXxwbXlvN/dMDOynvOMCrpVj+pSW
2jVppL9xMRgvuiw4ROEA+8hy5H1YD8Z3OMm0FVPemUVRAmC3vZj4qkrmSGwmc9+kibagPaMeJ/hd
9Of7Drs4OvHNJGlkVInol5UwjU8z8YMjCp2qWFRaJ7nXYrx7cCkONgzjAqggvIe9rKG6D1z1F71H
t4BplPnYl/iAEiHKdYgQ4LkI4idOV2oeh7s0x6+1k7nnzbL29Nik2fBCNu20G+ecS5sIUmbWlLUr
auT0i0iqkWa0FkRvyvbouQmCVGk70N+e0NWwRcVauvF0yz42pjt9L6rY3foR07umha9GuA5zvKTm
uGLW90Q3rN05jjer++bee6V3zSfimnHpA7Z9mmpj2qtxZnGZZBpz6RKHKsWEjtkBNmAX4iCz8572
SUP4FnNVDcM8bXOWJRPsnMyeuL3kk9GijCNCuxOBv0FNRs0Zxtq2YHTz1Kih4sbcAEa3azT/jQ8c
dzEye/+cNALzRjkVL2nEd+DajbWJM7ec80qDs0w6eU/OWHqIIINyhUcouEg92+crNz7YcLQ7FYxN
uwbiiKnXyTL2oP+DVixJEjMbN5HqHWOZ+XAE6jJYz3S+r1k7EsEWIxl+Idkv2OF8VQ+qCJJvZBEo
HIQMXejTIoZNFeifyE6K35nb/wPGrZ/k8tuP8vw9/2huoJA/wSG/o0L+/J//f3BEDB2EiGej2f7P
CdHLCHBIDDbkZyH8n3/zDyaIS5CljiuHy5T/B/mj/5hl8h5GLmwWOrwSkM/WLHn/QwtvgQTBZT4D
on0w6r6N/+kPNTx/NCvYhY9kHFmebvyXANHG7Gz6K8YcSImgZY4tH3c71iccbX+Vw3OV93I9T8at
yxbwktOPeqs9puS+GUQYyIUcvraafmXcKz98aRXfem5miFuiqFsTmlWuPcVF1nM08UaZXx5UjsrS
8OPsh5OF3Zf/dWXc0Dj/ALVhMep4vGAl/OeL8VnGVSe//2TJ+POv/b4ShfmbZZnkBun+vKZuC+73
lSiM32DTkKDm+vw5i5Jl8sdSNO3f8CDi5sBqaLPoZm/cH0vRNH8jdFTH5WOxin2d5NFfnBh/58zA
m/TzWvQhQ7g2SXRYh+i9Q3D5eS3S9EPzZxsdJAAQKMysUZ73/i5XOalmYnjzXa5HaogyXE0piDmG
ooNpfmGa/ZZ7mf5IFlC9dur+RzvG3iJtQUy2g9utNHSLyJFgAmDZa44MeAhZQUCAdIAwS0SPF7fS
gKqaKtoVDWmXYVidvYorYBOP5DSVzlspKnCx3fjIDecjr1C4jgUiuNBBsygSkAep9sMOrbOVwalx
SrLvohJvMArgYYen3YXSS5j5ogzVt7jJdsAjTwxYiR5p+9xb4DZ/gBgrVrHpgO4l8ZReCZKyCifU
kVJjOiCTdU9REXggGz3OLmii42sgwmc9Tr/jSyAiEs44QuBxutM8m9kj0nGuOmRRRB3AksS0u8d8
TNDppPapco1hbwK+2kzBCOkEBh+jGi5HoBo6AiiYUBvdJ+70czPSoDGkRUQJXUCEXhGIXLB9Y+Pk
VMI1mjJmw0ttaIKrVYfazrWld4garl7SpT1CbJW35zJXHQgicq+tO36TgwB5mQNDrXpFkA2OjCUG
0urauUK7C1yl70VfuYu4RTM6ZY59NwF73Dh5+ZEYbb/VRO3dS275mz5EctMlhrkw9NKHNUZLLI2A
pfSiloeazOxHv5l+VFWAcC2FE95nXfpmleOb7dMQwmRAWqqYHdDEBQGp7sA/YlWYaHcvU5V9xoWf
7rzb2AXFo6v4z6c2GyPKd69dq1yHeY6Ik/8q2+mVjI6xlz3HrvvsEft28HU462jl6UsEslkxpk/X
DS72uwQ9EsU64EUjxz0zEQS1hn+BdLqyX7BfBGsv1Jy7Lqm/sF7Fx6AX7VrXivwMZ02CRmWUparm
OdCYS43D2i0HEmWm5jWZCIxVukLWgJV9MWiot4tB33F55u5YDesUXMWChLzZfF+2r3o4D/tc/1GN
4uaFh0HImuV9X6rIJrBL5TC2BUBINLBNGNwlaDEk5NkW8HEQk7oWjrJ6sOfBq+FoGur6NLsXjZmt
CV7v93lsIKNkDd6HbaMOAQX/Lkxxl2RRxHYmGlCx1V2HIhNZaEYki1OUyWOT2P6WgEGySp3m1aDL
8JSLPDz0rq9DVqP0bG33hchHc5vGKn/NEuJUeVRq3Tsj6KY0ITdAdFrwVZbMqYPUrE9IA8LDNPYu
ngHFqb8wHGmuukB+lJUkFLlEcO7CgTi7jIUv4eCJVTXY6XroO2J4GveAk8u610kUWTHVonEv+vjS
G8iCx8rv7vVkyrGrutN7OyJhaKd6AW2w3Pl6AsiKjuIlSAE6dVoMWZDBwqbVBWK8JoA84IaMMtqe
xBAXR8QOsXgB7TJDDDBquosVBkbO2Aj3pcN3vav9kUgZQs6Wmu4BulJ6so3xrO0Trx6PtefELyKu
6lNY1uhnImcyH7PJ0M4il9M2p+j+4hbmFz1iaFa6I0b/sMBpNDxUrTI/VGWoxxj9GWlsTUOSggLJ
ETMHOfiopyDZVlcauv2HQpp671VWfwAHyTSXsc7SBsW+1Dy4oMYEw9TOqrMmfcLec3PlEXsUogMV
Ra4DoLbKuc9/HIh55M2NrYRuQBqsKhV5RzvLk4d+CqpTYLTJfaTD2iv17tS5sdrmZJB9KYhVW5hl
Ls9tPXZU7xJQKnf2dd6A71QJyDIl+BhZP06PQTRdBqcAye4XxoohYLyvku7COaTtO/pAG0d3wisz
j2lHduhzOIBsnqy5Y2sW7T3NXGfl+3RlrQJKVWHGJxKv08c6tMsLbTY0sUyVaG96MPo8hFHW4Aer
cTJGhnpQhODVah2NqdpZBbBYtrpM5WnQ2jlxvKbnn5MGqjyLXTh2PkgiL1bCzYylLcQll+57bPoI
QJPewmqMVWXQK9DBKumxljfT+qaLzoMUZHcRvOp2yak4fwYzc7gFxz2+tlaYX3xsassM6eQ6DCZx
l6aIypamcmwcRLDNrlrY5Vy2i14+m8DYnCa5y3uQLLGx8/vIWKNqvldUotwNUwvVsx/1j2YfdRvl
p1xPtOTRG4zqzoO39lpRtK5xTfRr2gOvUNu2joYvBHeSLJauJr5OJFxtalH9KAcWFFbMZ1UzL0gG
aDNFpp8nNd1huIA4U7mQ58hX24NQE8xOedJ+OgYbS4Xoz3K2nlYUPwpzunZe+U15DLWI+rGidUay
KR4J/ILARuPDEIQPcVQDCdVpbIaWeYkNkDxjgJyiJOpr5XcAi7isFYSUedauUakkCjQkZwLJydZt
W+JBh/K7rrELYalbBWawdlvnOhbmrredH6SAOUtaF8Uytpwf/1vu/r+Uu1x9DOPvr174kP/EM57j
9/IKu3HfENjzo/lrBfznv/RHAWz9JhxdFy7tNcvjfsW16o8CGBDHXH56tsCw7ng+tee/+5Kt3/j/
QFiADGF7umn8X2cy9zcahhTGHtwFbmtUtP+FAtiY2Wd/uYv5XObocKCV4ZPpjn+rj/9iCG6amlZz
PMgtMj6LGiy/FpWfriG70hciZXhTTtln6xJNN4n0ijYQ4xZ5fcsauvuImXTR+UWzCoaeFdnHr6ok
5fwvV4r/wLX8q3t6/ojcHXSM2DNzgj3s5xLdUgE9szSkFZIHzKEn8IWkuVicauKk6vq7bQ1nt+lW
2GvYYFzSyP9bH4BbgslXRUzKL/w4MzUqv7cJDghCPoA1DWpZAW5aWHFAZVrhOw4CLI8C1ldEm5/i
sPmHjzAbxH95Sj4Xdh0eJ1dm7hw/fwUNSkeZ5VmNXYcZFbKp5y4iMr7+J4rCjdrxrz/I5cfMrQMY
8z//IIRCDVeHst4WJXnTbdiKDZbTtxLNxQbOMu0qNyjpRDdwn3r2ew/Bz0ljCuMU6Ixo5GtrCxH4
9yZhR5aDqT9aALiZylPPCWeQ+47O/lbm1DlaRfp7mto089yqYgqh2rVXhROgRPOhhh/I+uOLHGv3
axM0e12Si4w4PziEBdclzaywNzpTdDcGLxO9Tmy203Np+A52EvB9pBF+GtZE+auya6FhxstkcIYS
96Gi/NGavC9/v0h+6WmwSHkl5vsolFN6Gv4vFn9vKrhsxERYc+fy1/EwfqVTu/JtiVDMNNGqRiEX
nVqJzd//3Fuz5OcnZoM2oBb0wO/M28jPTwyUlVfRKEy2fhPR+21noro/tZDbKpPxOEkAsTepZYkB
4kj0aLUpGiKdPb/ggWaDuc6icNP55GU4Hu8U9uN0JQIIpWXdj9ssgUrjc4dPqQwLc/0Pn/0XZgdf
GhdyHyQsq1q43gyh/WsjSO+ETWZWlG1h0RarWnOcYxih67SUeGTqV66hVmfgDdv8XOGWU5ax71MU
ZZnAWpq7wP3mDcgeNqVzclFtLPymIxsBsvfKG/ltXDjaaKqn97//3P/6rG3gEKYLPsmkWyZo2P31
YxORqelS8bF7TVIowRBc+LqgGzp/0dKF+l53LRdUOzP/gXLCWfHLPsBPtuesQdcxdGgXP/9kBnJB
3wmJoknhFlRzNoLgnrH6+9/vP/opFqZfWoj8cmw4P/+UIiMFXquzbBuNXgEEr07hjkfXv/8hvv1L
ZuPt6duQ1el5GgTF/RoTRznteVGiiOw1s8/AC2RGeUbqfUgo+8KzecmF1nO2qDnAwZjSQ+5kn0bI
EBB2OGMiwOgBpP2lYSuxxNulraMJDmPWsMjTpDfREOCvp4x+1lxt3OgoY81hlHtSCnx0vV2yUEYm
NnAVYASiG2Zw4mz1gf3NMVASzSkB65KJ/qKJHOOke3y0pKN8FgF/365JqxkncEHES/mLehi02XtY
Lio6/5ui01AmicremGbzOrQzw6iCYRS0yRWS5dVJrEuORPoQMDNZ2FbyKc2u3GHdRGship02IEzq
oDZvMmK5ZRj4YOXZc/HdoTBThGj4Buu7CBsmI1V2dRVrEPPtSz1V00Zl4jlicSy1NuVzW5ciJvCg
jxSOf7N9Mwre9n7evUeGD1+qAaefzcUJVRAMjdTmh2X0l74z5WBbNj16Tn18bcLBn3NaTKLe6J7Q
NfpW4KxaUsubj6rkxpDEEwcxBhMcecmnAdMEZ1nrr/DngB5s20dp4sZOOT17KzuFfa+Wymfj7ruK
cCcOkFUyIP3LpfbmkQ4BWk5yf4ssDEiIfNHGNtGGVwwVrRNfLZvHgfUmXsIiwkQ6tkyW7fzkZNVT
YojnuslzXkMYu2kwW8NQDHOwAJLOLB4N3tZHEvvowlSIXhRR415xhbUvUbih+ORO2awFcimG1WyW
sk7QkWTupq6zz0LQbSMM9ogy7Djl6WfmwagYmrFBMMwv2vS5s+gtTPisQB8J9QoO2BkLr7k0as6A
1KJhYnaQozBIgMyaj8yxpL6CqVgxHko/tVBjxfJkAXZ+OgaRXaleO6/QodH4Ym3CN5U3EKzCz5KR
PAQWdmvcnz6GDnSPeLUXUcpJnU35FRdqdt/R9ad7rvlPdEk2UxJdXXSeuwghB+le3jNdPH5HytMT
5gBqq/nBUBmcG1e2mDHZ025rd+xZNjrjvUUTZC1Qgvjqo5FcOKF1seA3bNGyX31dJfiM46vR8mrc
Fq6c+NwBMXfeQCA06XBbAhCeK0EhE9UYO26vQM4KMwzrwv0LNYmi+LTtamKky8PqSJNcYM3mhpxX
BKpFrCDk5wTb6LwuVVfiEKSNeup10NdGT+ONHiayDWw9tw/Ox6WK6VBVJBpnGqMJAFwkmHzpRI+M
lr7IEkU6r5oXVXelEPU6Vjw7bBDpeqrxX7kDnyknfptmZcLNUZ3IkgZclsKzHQiuWeRsYNrcxAVP
xN/h92Dpcm+bHzD2pQvakLey4r1Cuv1Zu3zqoE6ut+0CWcBnO3CM+YqdoEhCfgBQk0WbcYJU7og4
22iZJ/Z8iVwGqIcm6imqZG+hHO7LSHRPWemjc6jZldioUhCO1RvWtNPtdBI6q1gP+QZANwYH0uk+
sQYGD3jVNjlFEhgc0OyyKWA7DuaK/fRHkbGZWCYrt6DoWjRN/NI0vMe2xr+r2GtTt+QLGZyt9LIr
ernbdjYWfBFR5p5vm1KH2XHJKPItGfhsceeS8u1OuxppJ/cd4tTprSNpT66jFidL32I6myke7u02
Ec3nKKE1+CM4dtzSO99+Q+LrP+dXoo6dy3wUeK55aSs+2O0ZVKY4x7lGl7qYjWT9yQ8TB8zGvGwK
H0ysieGuNOSbTtLmyZHJZ1qF2VoyyF5JMsx/3+l8m82EzK3nckTOYhPntGY36e8bf2zXg8b7m/Bm
4jeb+Fu+re2ApQeHdn46g8bKgzp2Ammpo4jiPYR5MhxuO3E8zIWYG2YrABacGTZlFrngkNAq0K78
DZdP4g+bZuBP0YAMrPqu2gBKmLAX5fG5FDjWfKfi+GnYEVjD/PPzuWJh4F6Q9cCr6joXQwaAYRlU
WKRnLtKRL3JeYYSbUiBXlOnsNIRu86j6kkWHBLBaZhXLKlfsPr7i0ViCgmJ+uk0i3+KCN9yL2PW5
BUGUDvkHa9yGm9v+m827YwATd1tg2l5ooix3dcIgeT7joOah4ItY1U7HC+QhpHFdPrUJ1Xo5SwdX
t3K4i5FIduis7rQgG1/whUAThJ2zgNaPG29Ir7e1UrT5lUbQJ1rG50BPRg4MYCxK8VXPp00g2BdT
aLArMrFSslJcmueai4JBZSaiTtT/jkkHp6sKkpjUFPJsZXzuY75Vx5jrc8fbJHUd7bKKJEuOk/rM
LlkfSbpq98B+rAXTBxdqSkRP1ZgEck1gt2WJ/T+pWxuJYz/2iyBy9J2sphAUxNBJymk73iiD1KmW
TNyt8CJKjSH+LOvyDTdCuxm4Wb1rIp2egA9UR/KymM9X7VNS1CGuHD8mWcYw3oiwZQ6QjwUVsYWb
ujOClWVhRQgz+ongtpBBhnNpUKlyL53Ie4B20C57lKRLuw80VkJd7v35ApdG1Mn1JM+WEdkbzx6A
WYnw2mmzudEzm6VKA2tJzHSzSaEEHifs9AtSBK/+fM0rGVGtIiPm//iwAx10GDtBZ/EcO4wrhiKJ
l32ZtaCUabs2KLsXQxba1Cgo1/DIcvKOfGPKlB/JRMHWKgenRl0wyyC5aM1wfN+K+i2DbEI7HRuU
stz+Ds24Ql1oNdsKVf8Sz2vAj0csXcz0BYZ3/NsTI5jYMDqwHw4ALvUN4Wn/kbYy2oFyDjAw0PDn
AvVeYeVKwvG9GyieMe2xaWnIlUoM6ggWMFmwGjA20chbuAZC6ADxsM4dDsaUGSNBT7DKWw0JVCq0
VxTPDxpuKA17NsdRt2E4Ea9hA79rYXSn9fIYl+y/tuoZHvQH6ZIZ78c5cTVC+6hcFp/XM6IxB3rJ
aad9d3D+s54Ma99O9iVMYbQnUift00oxkrJl6knXrGQM5gH5nb5qhpy3dr754BtJGMiwLcVd/GkM
pUCUTf1kQECmWxuNL1Zr1/MTnogX4gQijzL47BMiEzBZZa/k49lHe9Lf0KvMvP/mrSDMlyyyWr6H
k5gnO0W3Bi3cbtOSIjhC5YfwjIpJ5w6HVUMz2bjmfdzW0pOlc86FbA664ZDDoUqx7Sqa5rcbvSMo
7jyL19QH38AhY1xoYstFVsRAr3PWbTkvUS7MW7vvr3hryCQq1CXyWTEBUwXI2ThnJ46C+XMqX4cU
w+bUuAbXQk7rhaDM7ozomjrlm552s3pIvzSQl4GjeqzQqBkO9L7xYugesfRe+ED87akajW9cIOuN
rhx5bHBuvXRa+jXhTAuhd9bmKBBNs6mZfZIiA+fT+FRVjPNaqut5O51Q5N/hmWAi5rfo8hz/2YrT
a4WykwJjeJi8QVIFIiOU1DWaIU64FVzujX68bM0eY+yQPwmzRzSEqL41M37XWLpnu0+iB52J5tdY
57svKJNRaXn7zGaFAU/SdnisSwosvtM86/mebc9/LYHfHEMt7p/zGvpFK1lu5ty8ikMYCXTll6PP
vhY01DmAzYezplnYa10xb9IzcVURr7Jymnbil6XGNCdVbYs5NQrrxy4LjW2ABmpviAR2f/TJvO1N
Ss4hzC/nEHUtybmc6BgCsKFS7tTzWg1ZJufAnuX71ARcrs11YgFSIM7UpxvOmVmMJZH1861lGmgQ
gXNMV10o35iXcF/ou/4+rHilwDnwsIu22LawRg4jnUlsmtlwn7ot05KOLLVcN9ZaqOPd8SKqO270
0CFYk7Iti1OsLMooe8TRhOTlhDOUXd9kDQ+RNX3L4Zv8kDEeNLoWYLMEsnpI9OGy01hNYgyC71nf
8K/I/FOfdB10jSpOGafebfVz34TSn8QHLqufNCH4rTL30R/irStMUg85JpuAkyuptI+5UQV4vt51
4b9Rd15LciPZlv2V+QG/BukAHicCoTJSMymKLzCKIrRyOOTXz0JW9x1mJG+mXbOxsZm3rmYVEQAc
7kfss3Yw3GAiQGEzX8/AmPXZ1yBJO2IoNoW4eVB0szjM6OMlpqClYmD9nbKNUYzM8XizsKzBQlP0
C76xTXNmjGDZOS2XnwufeNXhdaTCuivUwPQzendcOkYzDBKqUqx2jjgQOduhch6ez16EtB0rKXp6
O/F3/1RekL600CzB5USI9LK8gC3gqoaY84OoSDpzNJdMf+gvbUNRMDPKZb/AmOQueMt6KRguscqe
rab55Laf/bZ5MvzU5Bsm0V3DjN4zMLzxvKd8iO8Na1ro83viaBWqD5PRYMoDYZosRUc/ThMA6/jj
cyHzOUdinvxnqssEoarGy13LBzNfQAgKbV5b8CGxI51K2mc4vLnDGpR65EDaZg9RXm6RX7vEXgKY
2XMS1pu2/9j7PzPGlM5V1wZbJ16jwASGpCTnDd3Yj065iSHA24/U/FMpBTGXAfBTUhV4dhL5rYqf
FWlSxnwph6gj5cCEJrrqeioS0iLowk/yU7qWUrk/zv+ezw3xevBOifoPRbHVKtaTjgkCnHruy7cK
6LoF2ZP3h8yju9VZS3LscEvZJxL0WM70GMOUg7EditR+p1y1GlxdVsVI31d1kc2GQS3p5aX5ssEn
50F/8Ft8z102dYZ3hLm2lTF0XZrm69rv3zGXDoEJlFM9lMOHgJGUGfukL2+/irUCd1GO5Q14pmf7
HpPkxkUduLd6o0nqMT846yawFgwc5g42Xoe3jnKdB6BY7/Un1tu7uCT1UUDctCcMk8D75e3bFcRv
RVEK/Izt74p29ndtzP8yi/pp6tQAFwIsGd3W4sgIVXl8+4b/8DXTJ+AHBJiEr62sl1cveai2roQ+
tD7BGKNIiFNIKN5Z4X94rFSZLdC5jAa7r9pUnKYW80KuPjAp5Wz7BWG/yqavYu5uu6D4a9ZF+s4V
zT/d2CqR9Klvm1T3L26srWBgQvHThzjNunOkKZinDIGd2BIo5Yw+OhhyjsZYOVky/l5OxXwY6Etv
MDfqoZqlP5fi09vPGlDxqzdNH1Eim/MdisAXi6sRwNACo+Eby7OvdePOf/8T/OYZMR72MLdvX27t
Ml5cD8AQCiaq/n6wNiJfvtve8oSMqrw7+Km3GnwHIaizaldHTro1iJo35iC/OUX2sTHKEwqRj2qd
7h7S8aa38p/aH2HwuunyrjHSH35WYLkgjFl5kGMvG4L+hLDbizvEJQN1moLgWbZsNb0BGaa3aODX
7XVCkeyzrZtm39W8IpGUlHQZwzLVRGGKOA6CF1qQtK7wSMLpbDQ1hOAs+yG7o6sNGD8OIYj2TnZn
P1jEOH2MzWQZ99lO6HjHaGq29YCoM/pDb2ntOubSiOH9gO1w0OpvO3vNrQ2sg5hfLrcGshQeDaWs
tW33fLBlkCBOb7+ySyw/RfW1k+wCd5ZIf+VlPzcwh0mTGK4UN9KF2W3jrYeT+aYYS+pizNxv5wQ8
76RBeOphMJ5vk9IqDLK2JiBE7Idog7GbTOVXaNzFzjXoEg1r3AxajMmkMkbul+OsqnwqoXH57n62
OlpcLDtIAoaFLnNVZLrGRX+FWgb7vCLYJCjt0AP7IqSmBhzFUzjogPBIcL5jcl6BpfbaDbj9vRqN
5p0D7fXiR6GM2tmy6NwbnnOxykpICM0AKvnQzOrKGnkwFishraBnvfPOXu80tA5NPN7o8HoWgpmX
nxldkKi1gJUcooqqYEbcY0Kd2Leern4VS0eFA1jINl2ryy34fLA/ih/Tg8eJSkw9xyb5bpHCpyP9
Jq8k38tJAXm++a5ec8aK5J369rWy6c3bBWU4EZG7vH0Tf3ppNPBogLqe4bqvOsdgaHzLXJLmkHSw
hSzAPhtVTbj0dESdUzm1O3vsf6750pxTfurb5Ndc+u/sWK83SA9ZBP1E28KU79UxUVh95zWm2RzQ
Jv1tB3O75TFwMRSy23F+72rW67DL82zTC+j72qil/cuTtzY1AmOroX85xvscNiS0AnlaOgtzMjNm
oEoSUCNd5IjwnfiuxMW7nur8BrwwVQEj/t745nxTOO1yHEi8N7mTk5mXZPbgZAa0j+Pd26/p9TnK
L8avg4AYMDkykpdLTbmTV3YTn5YngH8yl6tD3NnzXW+QP1HKRhxmFO80Lf8Q8HM1VoQREKG67uWX
VBA6jHXLcDDzUCzh2nZIxCfrOqudCTdPTT0Vgg0Zbc+EUSLPAZKp55oh9XaxAx5khDC/ggM+812o
cyy0WQAM29YxXmZEs41NiplI0m7b1V+shXjruSZSmSROFu3nvfbW3Sx1qdeu7Regk+lDTka1LWs7
OTpghQ5x3mENF9kfixY+Ar6OPqPh0ocWWDb7xFuD+WhkmG/tUHpkcc/GJM+9jboAh07P7ceaCctU
c7nJoEMRfbXFBEO/6cCurUj9t1/lpa3hutVzMDkIeOgJ4yFzGQ0gEkyUw7YRzzq5zzHf25mkL3vL
dfSGwnLNGUiSmwbWd8rmVLNdXnQ1YiAOQhbDKamARM7UiJ73+pJx5VM6pzD9na5xQ62tv55bm05j
IsilW3tV0u6G6M9LePtO1kX3MoD12V8JXlGcGBZjhBeLMnZowSqvO1QehzFA2irEkYxPwkmGc6yC
chv4S/mX40deaHtD/s6ZuQ62XF7fcjzXRvOC1si8lFAE/pQH41TVB6Ogi1Zbaro3c+r9PvNktDwD
51PVID1P7SQ/9SbfCEQGqgqCOna6/i9Uf23YG17JaBXLlLOLjhKkw1DOzlfD7K/ymfHvjuLrc/+B
0oYpqPNFU7ZLInT0brN2A1yK7BlFyYNRrjW+aS3nwpF/UO3ofDIKN0SXfa0GJstdiXXevGpeyjgA
jY4LtVEI42+ny4pD5SOwyT3ajW+/pD9EFr5F9A1YI3A4leX6FH/LMQd6dRXokhowFJ/V2iBAt0xL
2KQj1IBr2aFTR+6YL6fJyI0NI3bUfdJPNA+a03MbZjF6hFMqwPl3NB6KdX9r5ZOTLbgF6Oavio4+
uCV6EZAl58Pbv/71vseQCREF371BmnqZI/VaNF1J4eUgfOcAuJq+CVtFPpMVP1ejiqh8Z9d7FTxj
ycw+YJOUMabAwb7+pN+eV2JCA8XTIj9Q2m7QbGt0zWvn/rkX0z2/3p6m0MD+gpID0Ui/tgEH2AMb
u576nWoVw7CIWTZINd7bPC4Pyucf57J98L2tqqH1z3/7cXIG5SvyKj8gVKVGp/gNM2EEytdpA8Xr
Pf3aHy63fuIolWx8oK1Xx07euB2NyPwwuuuq9crrWRBQOR1rh9zxvYz42SXs9x3FY49jR0HRiZAN
EtnFWk3UQLdRpfAiksS9hkjgsBdihzA5THCoHALCyGwG4/zMMMIydYGGjNHRNEV169SO93l0yuA+
G/qjtPu7TvrTrpVabpxxgIbPNwoocOrOhY/JajAyadPoKr2ubCi2EQbRh3TR1b5L+cvTQWHaLsRD
Sjn8lPX4KuH320KAskqEzX5zJIdxkq2o0zF0YjcDHZMw+4tfMBXJFkeG1jmAVrOv0HJgqtfnd+Cc
sYRADnbwLJtnCJnhWrYiC6Msj+8q8uT9MgjIr5XvhyBIszCxxHezoZhqjm3/ADne2sNUykIvIVOL
YO1RNnQtKoKKsnpKn3oFbtlXCFRddGA51reybCtQDU561WcKO9LSYRJpFJF9sL3WPwYpv0E0UUx9
90OjnTsMoK1QUB0+My28UP5ZzK/PyBft5e47H9qlwbjvwXgzUWJZJMTI8NY5st/XchC3KhAFpzwK
Ch+gBd+YXaAagbtNZ5tYKrNK465p2+oQNSPD4svsQKNYX2CNlN1XWtK/6InrPTgZYVowWm5l9h6H
MUiqwSgpKQ3ObhZ+hjIfHi5A3mpPE8HZrlWJvW8v4mmuR+c6WP/6rNZ3OrGeXA+1yThJlCRub+96
VWKnmnX+OwWny8ML2R8fFF8wccw6D3Wx1Nk5TdduAXgnTFsoBl0oEb0TaVxuns+X8FAYMrEpmdm7
eMBkYS6FgNhHMJCBtxgovw5qIM1oFsQg2m55NuK9rOgyKOCi7J0OwQ35BNvGxQ4VCzx8ZIL5J+Oh
UE1iJvhxxm5pu+UmggFaesJe2WnKYPJb5907Za1XJVUP9ycCZIsAnnoqFZeXq2puS4AGKy+oZ1CP
vjzk7caylzDL1gtCTTk1AT4q7HZPlB3yA3D64ePbh9azAu7FNrb+BkrksDN9RL+rQPz3lc1nozxL
YZKTyVxAc2q7I0YCYFqxKQRxM6RwzmEtfJuMJbrlQTq3NWz0sNKW/0Hk3hImg6e23YgReF8u/hej
s3iUbUd0lzT7Mk/U4zjP3clVHrejE++6bR157eEk9MmKV2vOqTLTwxjoext45iZhlPud4Mtdk9sX
90gAy/ClBNFB4Zqz+eU9zqmWK8hH7nu+quvRVtPeaDACwipmuHq+iaBPintjjL3rLuEPaDzi0IJP
COxxtCMLIVhoU4vY2kkUHyGr+yGoUcF3bXSnabF+NWgxjrgGICGDuBviR/SQW6W9a1Q6XC1L0h2L
VgJrdRf/ICdvoKsNNt/NMtQcEvNFqbEDseq1x16JfQk+LVSRu4mbBCAo5h23E//lvpEDEoskfpyZ
wNnKaCzu56X5tChM0FXSX7kj7jILYI5N3CbDDVg0/UXU1c+3l4z96qTlcVKER1PpUQq2L3OtJgii
dCFv2se5onbSC7X1sgGy9PihLJ2IOR7H3C8a3xD8r6KtRcVrm7mNf8z9ggmilOoVWHWm/QM+swxs
2JnxQeNbO2cAzZZgOfO3yOthqPt11q86UkjCmj5OoLEbw48la4IzWR6GKBrJnqs7Z99aLVwsZeH2
JetPfTEzxzOJp5KCdAiP+73Ixnm1WzkmOTdfrA2O0qFc+nJBZamemQIt3L05cHj7SIS/WtNIE4wf
HnGC4kHY1z5s1nESe1uUAiFOm5zB/cBDcNImzBIMKUpIqx+h6iDvSPns8qWDLOqDZ91bY8PClLEI
FeK40GDmdDfrGuug1M+2APJgO6n+MM34fpiW82Ec7C+OMEGHBt6HKEl/kuv0WN6o/lxq4TGd2Aw3
+Df695p4cpcUDBQHQ0E6XiUNGI9JHyS1gYNDy29PY5KFPnBJKE32OzWcP60dOhcORW/2nVdB4Tyl
CT1K1s5QuL+YNvDv129F9dCSRhOG2dtL1Xt1cmHwyhQ3UQTlmsC7FDOXPbUqo9fssMipwow+9BeE
ZQk0NFDzxlJOe9uIsttE6uRs+YoNTxF+mSMPfRpaInh/jBi+Gz4PQXQ9xvImWtxub6LymeTVHGd1
2MIF5t9A8sq/i5mdXEIRsC4VeJLQGvmaCdt/1V27PFg1Yj4TdPPfZl13x97mG2hICq+zzpCYYOFy
zHT1+HEcCvVIwz8KTSsZHpo0xS7TQqeROyYlLrm0u1iQ2iDmCk50ZB808zHHAJA63cqgvyll5WGp
UA83I0CzfYc9Gf7m/Bw6poDGVDl8dGfWVjdwzIhk8MutazF1CYiQr1CL7NYyapyfsQP7akce1i6D
STs7AZ+zD1RJ2XnAQK7lQW4Sz1x57hYYsYEPYnknKvjDamGRUItZ9ejrKfnyO+ukLPIyRhXrK0Q5
mcvzU43L4VTjF+25fBBvr5fX11shAkz+0wFicV5m6TKvUAYvtbsvypIApOFrQDYXgFNK/WOygD57
+3rm68CStA0GARkvMnXPC9Zf9FuS5CNva604dvbomDAtmlGGmqYvr9OSRlS1GMl5Cpx0F3dy3zBx
fFQd24XMIQLVJR+/N1a0AkbmZicy523Qc1AZA6/aqJ0VugjrpWm5lVTW6rHs2K7daj3c3Qhm+ZIW
94wmf5vXbSSu3AjFNYtOmsU39IvtDu9gtvc6FWFMbfKp9jnsFjixxZDke7oMv9o6qMNldH/lXvHN
SvjtwoBgPfvRcqauZe1wnKKwUqunbmGtm4Kd//lobXJCLeXHCbx4HCCCEsG9ich3ZXSDXwo4JROW
IPSqwjiP2tGHWq6nKUaB27ghLslTzpke6PIGsu6CNxH7hyr7+Xu1sL/lA+t8YWwfMpfqjqjiOXty
tt0ub9pPaZqLPc/N3hWwCmhYeHiPV5z1gcD2b5nb6V9/WrDeYZSJvfIE2Tycmz6Eod9iJpnNm3k9
dbPE6k7wAj0+FraL1ByJB/S08BAnWKva8G/MlgZ+X/CPgY79Y+fxhVYJ/wreywKXwUCHjHXKLZpv
fVBxp25TExVRpaOac4HbFK6Z3Q4CImID12HXz7U8MKMUnMAZ8uwK1z8Ui/woZ+9HiV53mxeOdeLr
HK6ZqbF37GArjmr2D0NbELKkhNHPn3sgeXwoTbmC4BRoAiKdpOT5J4GtSdp5Hc+r/f80Tee/NJ/9
f9As3TawAv7tm39lLPshZWGVv89u/us/+Wdy0/dBjazDTWSVNNRIf/49ucmfgDlZFSwrt2T9//8N
LvH/g1YpeRJGsyY58+q/+m9wifcfjIiALLE9x6A7gT/tf2du82V6JFFG2fyqdUiHnM933IvUAOqq
UY2VZR0duvtXy4pkj+v0xgEef+VNQDUTRkEwzOzq3djE08d0HZxCJQfaH0ZEaAY0Iktr8H9kSWeG
ZJHeY1X2gCVFo29KDx+5357s/T8B/f+o+vK+TivdYcfLXvm/w/zXv/ciKnOhEeoUswlqBWAgIa6U
m8YyGNGq2A8bmndWGxg3QWlEh7cv/E9t761LX2TIjXTKRjUAV9O4Q0U76ew2z1t/v7RTvSNCZpsM
CrHpTYjiANrvpoH2mmyDMiRoQTbFoXacl8rd1GIsNzUoEAoFyR0Fif5kNTw9aU93hR3FNxFatC0E
XsybOJ+PbKyPzZDtVJF+zDPDxaKpFY0i9vMxE8SHl82xHdv7OinrQ0Ig/WHAhuE679DCgTZLd3So
y6syMOobtw/SG1Ut418JowChKajuQxa1djA2W85dYB3VjxnI7wnz6wMVNbGp0HWFMWzzj85YTydv
wBCusBGgRlOc7jOv/5GpoNOU9q0ehjDQ+aTiTMU2GzOuuE3JWlycfi2Q4zK66+fxoc0aBmTGcCzE
F6ergjPDhuXVnAWfu8USB3SdZzU72CwlkubOEt+UZZlCJPRsbEYyuKd9erDHBmSM733TJbnYMKIE
pLl+xQwOXjnDfDcZibsHWaJpSaFDFomtrxpAngzvRFYI6P+2BvW7nxQ667h+KpzpKlrmKIxVEw70
LiwRb+usvZLgm5m9x+Yuy50pbPBT3KcLcN0686n+jABg8ZgDkzcb9Y4bwxkmbTSZsDS+4sQS72QM
LmXjmnqmRQV4ow/sK74aBHT9OSIU2Di+NezJAZ8mqm0PdDh1OJV0ghqJDNgZm6ORiCezmsZdiksR
UnveSVLXyV3Qs3sPNjNQQYIrVJ6Zu86X0cmvpHHQaRKdmH3xtz6mGRjs4iaHRhT5YQ/neWCY8UlM
7RVJ2U6slTumWU+LreywSNJil2pW8+TanKGNQAvh0xqwUXydxzgx8FDT6cEYyu+OVz1p7HkUKotD
S8E5YOKB9kzYSbxFkM5hTA1oYCPzgQqoHrfENN62ot64LehSmgUucmPAyPMQ4DzH2yS3ig7S/YTf
JRJee/Y3idsUoV30GZ1M4W9xCkAdDvu29RhVbYvxkVPdOIuYqqQcJ4jUzHtuaork57lu8g+ZDR13
Bmo/jQ7YQhCZuT8JQB4Jsx19dktJ1mIA3LNW3pDe6gzBxiysA5Lrg2sxB+TI+LG3Jn/jlsE5dnHV
Kf3H1MetoZ2nJz1BkW4Q3erkdmhNPHXdJRyxD5u6T0vR3nkrJNAz+scEgPJHCwezPW3gHRyQb3nK
oSxjBdIUj+uyeuqEQsAd7Nuk/GGY1U4vqOMLjymd1qKl2NnOLciS5MAgFez3Ftp8cCWUeTd58VUW
VRYpQSssnENmbx9HEglLbdfddxO5E8+9Mj4wW7Zncst6FNTQ9zA7cd0OhunHYNHUMyqFs6M12cG3
pEj5Z26Lqkfn8qqQt27HnonYqG2KvZx1jLfuSihs7YophbSCx8RUU4NZYKhQCT74kCaYw8kR/Bpt
f8RWM7my2RdXJ7+PZZrCVgra8TwbY/+kmDmmkOCIjY233gFuB3WUwksx5a681Y1hgqnEAN5jG5X9
PUyb5pjW+PxFI9WYIsMDbICdsdUF+nbZRnfNPF8py553AGef5irTV3mkOR9y51M/L8lONZg9FTMe
c8qqqM9YjbqFktpvDR8wv3aKHO4youUsX/CKZWjpFMNoR5eujIOIU4xtjCFis8PFtqzElRct7HeZ
s6Uulh2rkdouatXlqEZvQZld/8JU5WjoVB9c+GRbMeT5kQ7eX7ZQzs5JowcvBfdtJpHYTxhbM5SJ
f8UoMvNUNll1uyj38e1zjKDi8gD111wZZaGJUORSi2Vi3GcK/IWOxPUPNYTxIwoVpoQS9/z2hS4q
n89H9YsrXYQWUIPg1NNyOA5x78JFC/42lw4FEZ6ZIHzld2lV/maizb8J1p2XgYo6fPsn2C+Lgv/8
BCrNdF5Mi7Kgd1FxxltnzKpuMY/sVh5TBI4lVgJNu6FI5YWCmD9MWzP/oJdGH3OYYLeAnoDMDng8
IfVsz6CkFTM59ReZZuohH5MgpNrJLh+bVXXresvq2GWkIePH8TFF3He0wE0xgzWzCVbGlWoN/wiN
4FclPbERuqspYZUP/A6xi3Xx7e37/dO7/f12L1LpzCkKq84Z54M+FT12aoIWM/tdWPo4ir99qZdZ
9L+eLC1J5CorpkBe5LQmTZtS5xOY/N77pT2g1bPrfKU8UoXKbb68fTF7XSoXoZdP/f4/r7bW6n7L
oEWKQGmqM+tIB+V+6V37s10mPXTf+KeZqhVpnGu8DYoE1K61HJkZtXGTa/CFlrG+CTJYyrzJsOMz
RGI37bOuB7IRsbnhB16GKdZRIbZjDDzozA2tua7ujYyRngaF1LaYTP62OgO4ZguszwlK2jU8cYhT
3r7PlyXH54dKxI9fNa0on9tdl/Nvt4n0QhqCc+QoWzdmPJL6Z2lbDKwHUtyng1gtHdoif+dV/ulD
fXHZi5jagnSuDCavj8Jx+TTUamFlcjKrKGdsxBBX1cywhejUfbFGOd6IavbtG//jT2BTWosk/qpJ
vfhQC4NUuoG5drRT2MwdR2LqdpjVUGmNmMhHYynv0PoRb9ryK7t+u3/7B/xhOQe/X//iy6Gn2NVm
BeJdF/1Xu0unW11F9lXZQl2bRfxOq/FlxfKf90ypi+Yqswtgui7uFkM1Br0otRxdu8uuzTEfNyn4
3N3b9/SH3WAtqP3nVS7uCd9vmwJs7UB8nszNyA1uOvyVdCmbd17fn6603oph+S7Z6qvNoAmYil6k
cVyicdyMvvm5oKDGOfPOHf1xmfx+oYt9gPyj11GhHE6Txvs7HfVdRu/vAFY82lDFsT/kMbMJmEYS
HrdroGw1UPrefqzm65TZQcdp8YkacITI3V9+pVEyja2HwuuIRWdzXEY1PDWWY57SdLKPjT19rBs0
O/EQr0INpJItlKGt1xZYlpTim/DSHFajYMckuqjOeVx+lsqGyplanzIl63cSZvv1YqOVwyA3otD1
F7sXy0CYDGKWi+Knxf25mpG9momBZm8pmOYXy80UyGnX9Max7xJEu2PabEhCqYpNOeH7SvQbSrZT
NVQnwtRol9VmWNLkY2AFOzmSiF9NM8Ynoy0J4WBgm97QbtLSIz2bfbltRKp3zYLFGmxtJm2Lvy3M
Cjbz2KJllggquq77J8T5v1aD+v+V+8zICh/Ef43Z/Z9d9+1Fmeqf/+BffDFJLYr+CRJU2qgUqVkn
//DF/ABUWMDfDUSMM+n5T/5dp/L+A96Oawar4M0Gr8W++u86lUMJa112MHlpzKCh+e/UqeTFcA5H
AnkjV0KEE9DNt59lUr+djXXijSTCnX2Ei1gjVJsEhD/ml+3sYNR9X4FPX4p7P42ShOKy7Vdb7KjR
SoFKwZ870R5tVeUangqXWpv7yjcWd2OXLriUSfQRH8TMGL4fqGFnoQf6ezY1UnGBe8OV4xY97dZ+
RUUGQ3qSVbzL3Kq7d9LKegg6k8FOTHMxFRLV9WQF6QngKF7ENO3gAHRMe7nzwWDmOKxrS9/g777v
fPqDjGOSpSCQATHiNX0fUn5btnKGbGqtIPpFrcOYSLhDh+HTne1SFarb4CaKhUmxuIsPzpJ8pbOe
MqJXMNtHc3q7GF0Ax8j+CWHD3Y5D96NaDYnzJvU3GtAVushoPuE/rx+WIBiv8tRIfgatHEiKzI7S
nv7mTcI/EvepfdY3Dhk61/RT+Tf4URNy5fRz6TEENqYZW4hM3EoKWXW2fMd/6SRiO9Rl9JnU8Iwr
0rWDEEbP/VXpmFSbDVClXit+OLU/7qPJ/lkUzaFzVsKAnI+0dBkiHu2nmIrTBiPEhaJGGoUl2/mm
NbPPReJOzEN6X2RmXGfKZAbaC8duVNu0R4WFgMeHiSiGMxV6RSHQvCpLRIxz6hwmwbHQF/o+V42K
Kd515c6JMUMeG+f7PAp8vqnYPCy2tO7m3gUEo5z+a9lZ5byp5RD/sCKJXzWuufd5bwPSN0fnh1K9
OBR969+VZeyd7UnOv1SgBxRQqd2SNkzLGWf58Vol+Z1hNukvR43YQs8NENcYXG3Z1XAo00L/bPKe
6W8f0+42uMp7XW7N2MQZYUEqe4dJSwRi37/Pa+Cuo1we/aR+yL01IR29+6VMx5PLQNw5bTXnh5FH
1j2yh5YYav5RuNm090XBLGo/3HSePBFGQqwZrC5/9LzeBZaG2fdk+Bi2SX9vZ82Ij6y9bGunms86
9+7IGd1HHXedee15UQa9BRPvNqxgbmDN6+SMVeoSz5etKMYYak9AjL3JBm42LBqH7y6TIFK2WFyW
xc5ZohJfyhQpCj2JzHpUDE6RX9tlh8smyTBFD8ko7LYfWiiljTFRRKOSOcfYqiephAFXo9+NCghW
uzgzHQwoBL0WkDYK91PhpKU+9mbQ6G1i5V1JIk8z/rPIM5Xirlr5egnz0l+deFbwMqXrCpuBJKM+
5zMQMZ/hUBTj3p/cwgQhpZT/obRaXERytxD1ryZPl4Dr4hC6NyClBdvYEpnEmCKqnE0PPyLezUGM
K1w8GNQ9E1vOFtOCWFvtNKZjyT4qhd/9ZCA3KdHx+gG+xPWMZWPVBu5X8uX5czXyxTB7jm9jrPyZ
lraZQuWdp6Q+RtZIIGENAt8xLEX6EmI3KO8QGw0elgfXVKEx6/kZa6mYL0QzEW+lSwJbuCo/dFms
/x6jtnawrR5pc+V4Uub3ss5KqjC9U/m7Ug9dfJvkFW8fL7DkEA+TpXdWlOM+bEh/sUMay012KHs6
wyfZKl38aJXo033g5diZW6Ufwd0ZTKwwAsS7zJokjwF9zh3unVywB/2AD/LAjTaJ15/maFLuph1Q
jILrlcKyvuYyTW6qwNHfxqruHaDLU3sDuaqHsuAv2amc8NlgjB/ECkOihuyeMu09JRrOepVNZN7t
/Jfvji0Oq0nxYGfmWuGIJY3eSn9waAbuh6Hz/4qtFk8RgAbLV9NYfo6yj0Jl9NWnSCh6ZVUoumzY
lAyjnyV/r9pIbaCSW6XlQ3mt0a7Zh0BEPNFhxtuEUi/F0gJA8N2sCobGk4lpynhstBXWXq7GnVUB
CACPkHwatDN5e5m0MDqIlezHqGiHCHaQB4em7yRWIhXjDTM+ktOjW6TBcmS8I17HKvLkA2XB5CdG
zyaIqLTsEkRKTvqkaqZnvmIEo9XVYuLGh+NG2skNASis4nw+YmfzfcJiD4AQa9nc+LEMtlbMBLQZ
dTRXp2641wDo7xyBq+1gT9ONb6P0zHvnFCUye2CWoMeMCH8QsRgenmrF9Fc3uc1DI4wgJeALAtrA
xfwwR6os7gdALt8r23WPfb6MJzStFEGgppXfZJSaD0jZcd20dHCH+oegUaO7/B7jc/K5SPOsDRXu
l3g02X2UkwXa/i+/WFrwCv34K8JLpGckoYZa3okWExMGURS4KZmA0K2NDAK6LxVdF5EYt/kwyMe6
NuXnktLaIR1Sy9tT1ZTFtVm1sEArUPkCItdTHbdNTP45Vn9bnl//Gjwxfhlbi0J161D8kW7JxB8a
H0yY0gn7IQS39k1cdKK8YfLKeRJ4/5TXVQOuiMpQ7cAuTgW9m8BI/C9ezTwtXKZgOmQNJC+6C7nz
k+x7eJA5MCujrorriuq6ecbp3ftYKNP9uvScIOnMrkr+MMdfIHAZD5A+UNUVc4Er94y1uU/R8chc
Ca47sWuek9jSpwE40LCJHRysIF8bgj2iVvkqsyjb7YJbARYFwdJ9nEjUbvG/wu1uijvAo+CFFnVT
CqhBqyVoNbJLtgVkI5ByCJOWuUBdpOurTk89ImHb7twHRQXsS9nFLLo6ju0BRMIQUTaJAi+7Cipl
41EbkbydBPoDdTQcg/OvjXFOfhgotM93NIcS60EYM+aJlHrwrkEWTIGws72ZxnXCrYfjWMT5phT5
yPSjjzvTgakON75OKyFngAPj8GDiPR5fwfxyjesxg22O5SQ20FhS1Y9BPTXeZsnE3OO3kLrNp6h0
t1PpYu0JNYcGkm3sqpxPPsAzGa2SHG5yGreHUbfBUzSV8iEjcsEtCxLYVk5tSsVksY+B69MZslIL
qotV3tkLLku+19GMd5JkE8xYC4Yi65brLnJ8DTTOFucUDjneAXhYjyyIQf2YfNmik5xB1PS2gXnB
iOeuih4NPvit6kDEaonoryua4Ytv9u25zNL4Ixpwvc27ES6H0cj4yXHjJKb7wOmwCLp1ywzp4Bpn
Kj8/2I6TBUesZn1ea6MpfkVYo+t7yyqMO7/z7JuCNhldPj21hyIVqKJqOjfTptQSDFKTZeVJ+Ew2
zeaQ8pppNMS7YO77D5OdjQxnzD7OQNYS/+SYY7OM1OhO4F0TOz4WqRHtALNZ3xqTRgrls+J+cer7
1jOnQ4ctOKhAGnp0Jt3rWoELqXr33C7gwCtLP8Uyzc1NWkXnUbjLNw6M7EPsWcXPpm+GQ5u3Zrsf
bZHjSa6YCSSVaX/GcUUIVrvRKS6M8VgMJQdUMyWMwzipoldm0FH5X+ydyW7kSLqlX6XQi94xwclo
JG7fu6DP7nLJNYRC0oaQFBLnmcbp6ftjZCYqI6oq8xZwNw30JoFARsjlk9k/nPOdLfuoJfvL4iLY
kU1MToCIOjIIyoFswGEc55vUbptV3U3le9VO7yxeyVrrjDiHUU6zXRMjm6HWIZQs+Sv3wY+N+z92
PD+NWK1RFXpZduMBPnrdYTRpm2ORacnDH3rAf7JR/2cPA/IARPTi5mMc9eM4o5/zogwCbTgAlRlA
U4YYkuuptuVfDCKWodbfZ7jL01neXwO4Ak4zaKc/PY7haWaH2VYdZlWo12S54VHE0hGEk5tF2KDS
+CPryciCTJKzHfzzZ2n+OOH79eGlhWgC4jXd7c9PMx7ClJ25BYSLMJoted3dvenmztZeioOetMZb
t7bqbVra0zM+K/BZVBO9TrgE1QX6B8oMI1xnS+FRONT983gZ2dAfHKsmTkvXw67yE3zeFbkvcXbT
Ng1HVcmCgDizqGRp7f3FEPEfnxCdsI68nRcWU9LPQ8TZsiOZlao6zHELHYTdIsrqHv+HvlFOD82F
Y9y1Dn/+Mv7jg1pwXG3kaVSmTOR/+kw2AfuRnmQuHjScryw28mnePetNeIwh5f5b64zlLePBIIDw
BPlJBDz9+MkM0QwWmZt3h2GO8Y835rcRVVeuj91fPKt//Aqgo6EMQefDkANT+I8PZOatUZU1e8wY
CGl3YxtVwMVZGELt//zl++42+PFLAAoCyQ1LVwuH4s8LqRBNWyJmkR06m5DBCE7rOlBjFF4x/bDU
OsXLAN4NzxshHtHQ3qQsPO2Lu6xwl5JPfa/+iLogM7RRwbwfv9eHbDKpFf/8V/2H18QgRAxaOoMd
Xhb0tT++JqFmh11TuvEhjSJdHogK6S5jOdIs/duPg1qfsTHUSR5mwdr/cefh1FFbh6GKDkVAM7DG
qFDE6zDIsuP3x/n/Q8G/yt9CHc1R+6+ngvs4f32PXrO/XZrXbx9t9Ecdm/HrP/51Qii9X3SkcBBM
0LIhoP37hFCKX/hUI1XTGR4iYFj+z28TQsv6BV025ANsIy6I5mU38NuEkDQ4WOfOQvvBK/v9f/0b
SjZKeT4pf/9uoYaTyNiguixGPewyP1sWTETM1UC/uyvoxYGhtVMNU42OrNKm+t3urAYsVOQ9DjVq
SmfRYKE26SDnJcHBROr/TSdLY48tnG6NU0CR3LNbCBwvWZNK8gucilzlLq3fkVBD3mvrdkVQS3iN
xX68c71I25aq+N5qdc03rwim3Ri18q7SRDxsIr2y3wPMALZf2E60pYHfTqhEgRBmJ5uomLUanO5Q
z+HBcWLbn9C1bOPKu9FVXO+h3KonJ6y9b6nmIMSIoinYNVqgtlaBJn2VJdn4LURI+qJEoI5zm5hr
AYtqN7dltOcyZgpmwuRsxxpvrJmdvSl2byxmKJsJguu+jHQDlTvZKUNt6+x02/kyOGm08RK6Az9n
iLELsgKhwBzE1Zd+LsuPuI6dc6dr1hH1xAN4Ce+rObcuDp/aNuCqMSg1nTLAQx/DB/CzrmnkJoja
afanPOl37jSNq64006dWTfrRcsfuWKTme8Ou9xykcXwVRw5iK+m29xkh6KTptnKlBbOOICuV8YLG
1L6aQeie6ri1r0Jwp28VTILQH1uhffYoBc/5hESOxXF+5g3neQJGRMVSrEL8nteDCFrSfV0BsKTM
MsBO7udop8XacSIEPlnf5wiklrI0s96HfMgZHGau2lIuBis+8DYvlFbc27mZbDMS54FJKsCHIQyX
GrY1fUFfriuVGmcrwh1Eh1CvB8vjqYcIWJjECL/vRV+xdLGSk9CCR9wJw1qQxPxAgdz5fVth35gj
63mcqnSvTLdcEUGa38RZlkjE1dHgO6TrImUZcmKKW0LLkTKZg9NschF9gGAkUCLGdX5tGH1yYFSJ
pTHQr6pOz6+Gcva+icoOv4y9EZI8ZuWP02hmJCYFzsNQFGSXj6NXX7m9plZDpZu3bW1BQtM8zV47
iM8p1RpVfWtJiPXsRlsZKqy22DzM69ma8m0yOON1NGYq8h2TT22se9mXDHFrvR4p/bZazmvmJUDR
tKZQL7OIyhO8hOoOfJw8Edjs4k7XoZ+Oybcavy9cxgaKipSPaTWijcxF7zdaeBLNlKwHkUa7MYiL
LwZ80uuIZ9ethNbPGz0YjAgOZBJeE8AeXqzZsDGuWRYJWBBYQx8Hkb5rrQHmV6AT3jcliO7pCt/d
OYXT5gmtRlHR2NuGwfhmbFIkCOV7a4xHF3QzaVbD2tQ7JOTlcM57BEpuzeQBD+RDVKOrNwrzUBXL
vNOMHG39h7P6n1TvP0kjvp96JgoMxPmsYTiEOXr/eH8GMkE303IcoA40I2DOJcPdqiqKiI9jUV2N
GRb+IWd90BZP2ZiRM1TWTXNtQ8CCqxsU6tTNPRMVBBXrIiqyk9dbIZQCE/4m84qC0I6s2bZyQIju
WOCQNl2HWdInri+9875/n8Gj8t22IjqqQ8H3wjm0y7kwiImNBb4leN0KoOHLnz91fN8/nfjLvgqX
ERWbxKAFtOzH5z5pHZpmbGU7fAX3HrhHmafWveaOL8wXEt8oU0UcRVhfyUbJEMK7xWCX9Fs+DU2F
PFULRWNsCP8guHmaA6YyphgAgmX9R2qp8CHKx+kg62Fvj9mhthD6rkzVAPckgYxc7h07oCOCOuL7
0vi9RgaMJ9jIL6NymwN1bQ3/N2OSa7TR0SSjmEDgFOcRMYbWoegby1kBOOg2vI4moTdpsu6dPkb+
OuYXJQfvhaa9eJl6vd8OTla8mUzwr0U41ddZ2ERbkIv5ruwG+cQAKTjgnQguUx73d/xRbptZxU+J
YUXHsR+wPeAx3cy5I3YDOFycFoN1ZbrDdMDm2DGTs7tgG3ZmeD/RYPb+MIftil+bvK4kjbap7Rk7
unlniwlk3kCJVB13kELbSz7gY4fajIgQr3pMFut6nRX2pwMMeB13aXoiqryFYC2SU0WsqrNSrSke
IR6aN1hAtHurHczFbB1yt7h6+VEn5fjoaKXzKCQyHJBGzcVNRX/EyYU8xLCjq6DWm73Z24cc7mPX
fzdqko9Su8DxfKmM8dYchgGySp5e90Ohaj/C4rmL7L7gHVHwiae6uYddwibDnJnRl4b5BtQyeIBI
RiJkkH1BBzTQ589imNmazflLrlfDebbM7mpuOnIAQL+egOg7V7mbYvF2sviKLR9rpwbR3bYxkimA
aeVGK73pq8UJG9y02lDdOnKQ9Y7p3bSHAw3K0baKTdOwy/D6Ob0owBhn0vy6dURQNFwOqzqObGtv
o+UUyeqAckUemPyuGPbeTCajYE/59ZDl7IKm89g62i5xJTMlrokV3IhLu5xZocPpFSznmBUaEfnQ
mvbpLidcv5x1GZyRcgDCZffxMp7KBHi85WBU3w9JTgp7DR0/vDTLGeo2EedMFpszB0Gkd+SPc95O
y8k7LmdwY6KlLoaSM7cy6wn+b+9uzWHiRDfK+q6XdXmaoZm8CNRO4OYQ4qVaA0rg+8WQLHeEXG4L
IzMQGaTLHVLTN2l7kMMFUtvvVxAZhGRPe9rUDevUqOUDwiRx01YZSGdC/7xvcYPi23dLIwVArrvN
UesXhNtyT6omwSb4/QYtqtB9G6pEcFXwmUYmasYVJNycVKqqy+t9GTBkDIBEx2ugy1zprFd5YyeN
mTvT6X5rkIbX+DOOn1v5vWqYlgJCo5KYl5ICgSTFReoMyapQUgDWp+7QKR8DD1EI+Kau8IPMdTeB
psZTniG7yjxtPAQE/2HczPNdRekDBjhfqA/K7HzlRvYaVoq9KsZSwSjO0vQszDY5WF3Jcpml5teo
dOxrlr3uXTEZQe43bdRuTTDOH5g5zAsaafHeZ6q/xO0Uf9FU0t0HFmh5PGBKHroQixToUW1c57od
3ziA610/jiPr2tEstW+0Oj1T0xEpOjBTWkb4prjkrIqOVVDl1x1ybuT6g2zexqZ/0p2qWsNem6JV
ik9uS7iTsXPHPnqQIU88oWs4NFoVDqxXnZ7lr8sEuEJ4vLFSW7tAwrcO0hnJn09K58L0UmCN4Ooy
8rh8wC8Xxn6pN9kBeFPSrfOY0Q4CTnS4oVHBT/Rw3J+dipW90w/ensJSfxu9Wb1bZVHxGs/MTShI
Q2s7DAyNfccJYcGFBi/jJGOxY1/Ft5i5T3yUTpWehsbVjl7dD+hmx/GYQDT4PlGkYa+dEC6npj/D
i7rMzI8eiNTNVyNinx3Dy/gYzUZLSD1yyttoMtMXxGzBml2nIDCpybu3UPThS6W6dqNLO9t4ZRrs
+CtvOoNgEi9MgXircE5m5fHh18g04irX41sydnAhWBlezVJQBfqgROxLzNMIWPqthEMyQkkqLUv6
Dx3l6eh3JShZzkRSESudBAc37kgfZmLxVLapfeynVp2FFYPhMaQi4DUl/jeRM0bUKOUJFFiLQSeM
m4YegMmtc/R0+zMfvLcJ9syOCyyjQQrK4iAb4fJtxzpEJkUd3kW5NZG/Jiisg1R/TMYYo2OZPxp2
ZT7ZtaH2vcqqr4MQydeg1RvI67WFaQ+td9/NL4WnP1pOhvMvSYRzEHZ5Np3hJvEkbLh2VLBvRly2
aDsIasgW05Lej4CClFc6+qmp7OrgOh33bpCKowfdYz93VbIxGjE9xxqfU51UuNNIbinjFyd4Nxu0
AyH5EsNKlktZPxcjhfKo5tUY2d+UioKdZ9fa1jEmc6E4x6dqYoV7UoVW3jlabz6QqtKOq7gcu48+
rSgXrbR1r4q64LTpQyu5L6rBIcmZCaSf5Gm+lYld7ZrSEpTGFdthIHtOvJZe4/BT+/g1AyLiB7IC
JkiqAt8fHFhjnwUHFmvJCWECSVs80QmTgMa6nXYElnVLOnQj583gZdDvg3mkcbLIAdLS6TCC09oh
t8z8Uc/kU04lGG8ww3hn4hOmraiscmsZSr5EdWzszB5yN2Ez6eJtn/jWNpPu0IayQfersj0kWfsM
RPY8S/1zCVTc9EZgvHa9Jm+8OuB6rB7aVNrYQ4j1uDPDZsp3A+7nb4k18zWI3Me8w+WqKe722STM
Z+ibYefqNZElkTXudOXAVhkz/bEj8lTgd+Aorpu+4UjqO7JzTLaRMoDSyVXC5xt8TffAeGJ+cNgW
LBk4aP0ZUF/paUSeQslzvmRFaZ4TWnZfC/B/W3Zo3qoBosTa7hoXNo/0tHuAdNbFMorh007fgnaG
hFuNwPzDOXJu2D/Z+yZOKYu04py74Ov12lk3bRZIoN3JzolVzSli0mOMrbbOxbfJybNk67GzRWY0
ZcWKuGkD+2dwRXj0fE1BeOpMpAm6enLTl3K+m6JwZdqd4deFmXwmIsR+lhfs8yr9VoqgfubzxeWF
P+NmAGp/yqKietL7fgj9OGMKsdK4Z0EMSvWMwX344uSe9RzoqfgKIaVedXprH4BQJ0dugujKyQJt
5UaJgaghyzeF1lJUJOGhaxBCs9aXbMFVdBsnlXNHEsz0IiBp+xqZBYdmxtE6J469kgWqib2LpHjm
PpXjk+LIIzG7NKxlfRLtQ1tAfI2nemMbyczOyhvvTRUQf6eV827KpL1lyp7sbRY5PooFnG5ZMG1A
x4x7akg99dESOdjYsfhfRFZUB7tW4zbMFHHaphFBkqXy681OYFJS9d6FqUbYRRYhWYondkqg57f8
Dua6DnOCaasuear7SYR+N4bhqojzu5CNIBlBpUYg1nLhuiztd4aRfsm0qTqyHlK7NKgoyBaqKZJQ
en7bsR+8BnfJrKrymHBm9H47ZdVGxKU08apoA2qxNuUbmBY6BzbCL6DgRJhgM8Id0Xk5/6LviDCY
gsJ6nIq4JQZulu9VWFj7KOWECBDMrNuOvSfKi3yPhZPfuSga33DTJMDSzWmGwGNYhalYTyoNTqYR
BGesm4uj700wmElS/RCymsB9cmqI4/XNdAQwVEZPXe7aq0Vxt8nEPB2Z8BUEZHt39OUrQs8HXlty
j30HE8A5Sk3CtoZerpkTzMSSiIg2KZb05oSLnyKmy7wEAZF7TWkgHSPYSZpt8RkFw+LZYsLsQu5f
1VoA89gK2CsXRZJ+M4EqPRexTZpbnZrBna313rmg0L7Qq3QnO2aTpE8OkyXhtNZjotn9qgvj6jl3
rJykqaw8sfuHvSKrBHc4NgwdbfnO7psawhYshTYG5TAWK31M0KqatgcwXibGjm+Y9aWjXbtASUCW
08tmE+fMPiJPJ6w9BHOWpKfSFMex3U8ur6cqvGf25qukjtw7syDDPBlk8si61j7UaZZdybhl58pX
8IBr6RKSRaL+Ylr/M8QRReQSIYhXkBhW3ME/C+ixuZhBYFvuTgPEsxF24rw3YY/orRaFC3exof+1
sjFkl1oUMHfhUZVrXGnabUaW/Jsj56rZZLaINhPCO5RPy7ySmQ4aSOXpCmN/NOPRKr5POHVHISMG
d8jfLh33GKMyr/yWDlH71ZvwPz21332U16/5R/t/frCP/9ePf2x//XP4US4O7h/+sPke7XurPprp
7qNFB/j7IHr5m//d//m3j/9OQLABTobJ9Z/M41+b6bVgVfbrjzt8+8//9du/+W0MLxm2A7mUUgA8
YurOVORXoa60f1l4zcxBeAgEu8t27vcxvP4LDnRnSccE3Gpbi9f8d6Gu/MVZYnFBrzOTWP7P70/+
t/ETrxuKaF62fzKOEnKZN/1xCs/ayCM1TfAoEBJZT/44k0nBmZhkghS7BEbvDQvMQUIsKfJtMSfJ
U+h06lm4VXYoHD54PiWByY1oWxs9rft905veIama7t6z+RkkjCfeY6lc68nEDXg9z7r9JWZqex7w
fCNHt5I30BXWtWrC8VDw372TC6mviNGMp1VtdPa3FHST8vl6dtcO1rMHFKmI6WL0c5/TVJnnhiPl
wcyMYe16unksIsu4MOYkLAQdLmNCJz+ElRv6DrXbI7rB9tgggniEzp+cUUQAj+h039W8flXktbdB
W+RSnHb62pEU6SJ1TWYoBI6WmQvIKBR15RdOGV57SB13cRtzW4wpFtdakZbsktsSgzD1+zHprhU7
WFIiEbVGxBtNsaNf2Vh6l2mydqQCsrcij/prm1HItpdpet93encuu3DeJNIprmvTblE/tMZGtnV/
lxURoqCOU8zOED2kSlwHqsnQ746IKEblPRuNbXEHF/0RdYW90TCs3mSZ1exFOuurrqGozFQ3v8Ly
yHyLq39bsoFe01lONFKSCXrTiWMDt+BLkFaf7NgBwBYdXQIqm3R4BhwSPnZ9ODxNUdA+UCYGeAK5
1zBBzxRjePEQrky6KRFZ62qxWsMneM45+WJwxgnWBHeW4wvzm8HepuDjL4VLwURA/XiC7EFDwgZo
WtvzTOJVqTxvjRBvsgG2W5iHCVKt2QapuWCkrfJPYxrFPujxtfh6aQi4KxBwrNwmHWgU9X028b7Y
9RJAFcvPaUyK2znietJGxzqnWRiuc63ovo6Jg0CVaJevsk/ixxJh07qttTsi8qpTQgLgpzbGws/1
hFSYRNWAt8mNYkZlJt+iyH2BUBOcq2ZueNMlt3RG5a+GYilBsFoYi/JNpb6UlTj3vUruotI11vHc
TsexnuUNwb27UktRcRVMXAYZ9oRZm8Vr06p5P5n2sA9jN7pqWCAcBBFpmH2DfYn0LvQpuJ3bwXPL
m6Ebpu3kOOMRraB4jqzGcTfp3JOgGYv4Mayy9FCkw/CCE01/HQJEQRGt3LpsXfc0WDWZdB6DGEfc
xqNR31n9goRRWf+KGq5+FKSd0dEo67liO4P+o7dAq0AdMijCkM/ZuRVHa/5qdR22eMQIMrXDkxWV
4ONlU92IMW4vsVtVXwPCvQES5bramzW625WeV+k2CTI/6PUpgWNuG3ehlhu45zgdbsB7jfsO3Sy/
r46aG9WzMTw6eSyPqoSyLRFJnQPZoa7tEvMmnt32XBXK2HQRGsqWqx+RpExEvGKI4ZzTKIz7TZB1
xgdqWOPDpdb+UI6oz1zLY7Me8no24Cz1eGaKokIi3WLCXDHnGr4wkCqoGzFsZatCqFSuvcnw4AZQ
e/u4GJA7WSjo1/R44mwWtN1lZulbtcTioR7tdLGukOe6qyKJqg3ZMX1MvaK5150LbgosgLSepW0u
ENzRmQrsjIugb5pDaD89A5/OJ1TB5ds5D9FVF4/lEwIS5vxTEqrbUetJp89nZ1wFRWi+2A1cXr+o
2uh5LF3L9jkQNfINigRssg8eXT5PhU3jEmmWSySZKa4RYQ1PNfPU4hh7o8UmUSungzbogmil3LUM
mvBYewvL0SSPR1Tyiejx3IVt4zYXvVLu2Sqn5dAegomDcSxI4tA64j6V2U9Espj6iF/d9LRnh5US
nKxyZJCBZQGRKn6WnK1lbFZAzXRcvENGLbYZiTAYN6FpTPOK4WvS7KbCTVN/gP1/Hzt90fmDOyPB
R63avrH99RJfKZZ/pxhNYndfRbp2ks2cb1lIdc1Gqoh8x6TOp3sd2hpQJjNVz+xdwCqgwS8StK0D
IKe0XWZdSnM6X28FdXWQGQkQCUv0QBFSA9RF5hwMo2O7R7rD+AmasfgKHKrdlQy/Mro8QdOWjnV2
B3Yo+KqwJ56x4X9CKW9eRezd2eOol4RihMi02PBAPdRz76iEGl/YeHYYM+CQvthKb91VmNPk64y1
6KBk5uxCo5d3QerO7iVMAwLEJjs3aj+VzbD1koVE1ZAvuEszjzxCR07OsMo4fL8gbR1PwIjDR6aC
iOtUZrfrirUMlj+nGT4Ml1vFgoDdEboZ6ZsoGgQJD30rfdQujMYhk4iDpiFeJozUcZ/YBzgPU+cw
VMslAIHcKPgAlpGNaWMOgn4XYIL4okgzPrPrQ32V0p3GmwIt9pOQPb+zRB50dOzWLjAHxAEO3chr
jwxe669gP3P7EMtkIlpS5oNYWQx8WsKcW+sKYrF61qyM4p34EX5BBm/Zt1rrs8gfa7rvQuv5xnSB
kX1NikydOEONVx2Ix1c6CRc4ij1NDGHmhLO3sOCz8qNDfIejevb497dtbwXekp877HBHac91xg1l
Ti74A6BPH0YP9pqJufcYzqP2hTTc7Na2UN+uh1H066iz8rOVFQHec1SUHxy6OB0D20CZmkTdY9/b
U7eeY6t80dKyOnjI7hhOWZV1L2DvsTeoUu2tQLU4067qDXtcr9DslRm4lAqewnge061XO63vE1QR
HRG1xC6XrLRYleu0f426Lwu9+JCR7eZfCcNdUHHTIO/Y8BD0LoeJV7JPZuV3aZlevIjIBl4uh9xH
6MMDMTc5i/8kiW6hnzBHbCFUrRskrXT52Rvv1QjEcnSrx6FloMHghvvdNua7tIm0imxjMPHwLQ2+
ICnTgluNlCwmRsTPPVYJq7kVVgV51UczzIoxkDLcdzH9/ZUMzYZIT4Xre02GZnejI4vj40nDGZM8
GgVPgcMqjyDpPmIowquKDad6VO3o3HZD7OFXiXnfE3r3C5LO+TyDRI19wEntnTKy6m5wA/Ytna6b
WwcDEt/4MM4PcTQ5Vwlytnplc8PxyRCTRAysjK1RGmoJok/jTTLrHRWtgSa4TZqEuboIaLTcwnyd
DVk+ajV0fN9wWv3aaUZeEUb7NcKwkVeIgV68N8bQhRuCGAFsJ79W6CXdo2eMeG7baIrWkKzDdwCw
2d7JlPeIqZ3d1lyDe9Y68zqdreScTSIY15rIZnrUBCqDZVfpLncYpvt5ok8Srk3rXcE+dk8jkhmg
/qbsGLjFUfsyYD1gbIx++TOrvPwjYJpzFIEWvs2dOU2rsJ29KxAi1xFe1MM0Z1zz3zuh/+l28F/S
xf5fdXaiFlyAtv+6aTy+5rn62/9+zav/+NvptYUk1PzQQP76739rIJ1f5OLypCIwFpT6YrX8rYG0
fqETFNDtEXkKUGWI/n5vIMUv5LEJKGVotvBgLhKv33Vc5i8mpFgD/RegQ8dBePVTx/hnHaTt/Ogm
1zir+KDqSIR/7BwLU4WGQnm0ywNOLE1DtkHVZs8+i+b+mlQ/p9x4AcJ9UjWGCEdPS9Aft319msY+
OGA7qLegfMS1U4zRWp9GCcxIjUR1lDlZSwHFTqWFRrlVwujXbBeoBAKrJUikmw45DDY/42v0FSBq
u5NsNjdtrUd7TqL6xiCH6mvYBJyVsox2+TJkH1SWnrzQgxw540ewlmF8XkTEWywDeqRq8StuUuck
MZvEQNWXWX67jPXdZcBP8FG+xR2eASta5v/Dsgoov28FSFB3r2YVUt5SuHYf4fcNAlIW84GAtPKu
m+p4OtV1j+2zcc2ryhy1beCWwW5iJ0EOAh5S12FPQXfC3oZYloHc2crelctKIxNpz2XJmqNO+mo9
tsX8zCWdbFg6W3tjWYykMpoeVMoQ4tSGhMGtvF9XKSrXl/MpF+cCd6QfmRmoJWwCJ5HI6s2mX2BX
XoEfxJ+6Sr4vbpYVTpkU6VeW49XXMPYU1g9WPZI9klzpIqJaXFZCM2vsblVxir8r/D4LLcgxd+xO
SIBAYyIOg9ZT8Jjk8T1oGly582xLFHazyrxPVDy4o+jzl0G3Rhi9HlavWhWngrEeyQBa3hGXvCSe
BnPCT4mrCJOPsoilpzzX9gV7/Q13ibGeM2daR8vfRMJLGm0YK/MO7VL+WQ+8C2uzsapHNLzMPl0P
p9AXFCVuv8p7c0nfdlrJMl3Pubvs1CWmx5HWwcvr6CJM9hFGRQw5bzfeAl62pqTWVdF0CfAKMzuj
NbP5keal4Vd8VVj7UKZozBGKqRbsWLVuZAg/lNuARtv0WQ03h8jWpi2I0OBzqhx+p5ZOmdbDiDy0
WHxUok2Ad+lOOm3wyhAvhWIFRIt5C0lnuEYFSH8yLNne1EZxFcSklOiybG5LHCHstL3KiLdqps41
aSvuYjsLPxlfINUPygrdYExlJaBm4ENqmo75JlnPlu+5mQK34mr6NwQH0+vM0vMLPAFXrEvNsD51
lsl8pUOBPxXvQTv40nJ10AFxW6GV77OuR0RVuJDIGHNjYARpA4usFzZ6uhyLnKlJ175EMZkma6a5
YbGZktFZBF4K7xfdhLi3YglSw6q0nAWvaAvCYY3aZcg7Kv1jWCKsNTxWRNnmc9gw+ScvhjowEEcD
SwtpdJnn3WXj+G7qiEwmoxTvdjGTLY0m724MBaIqRSbDbNT2hReFVbzhVuPjqCXhKyPY+ABgMz1U
UwDrEyVD7oP+9m5k6pkIGdsFkzBHINCYmfM+jbSTQKNnxrFigiTuT46nqs2AgGePphRdk1kxYukr
76MxkTOsx07j1pdx9BbPyfAWBkm/BXw1Xc/s0C9x0WrHbhL5BYcqpUzYaLjlbYMEGa0hp9LvpJUX
fj7r5RVORZ2etQxf+CH5Pol0/dLiqF0NtvdCiVxtWKg4V3PPcspVjWC45WZX3WSJF1KoJPzSZfku
2wRBZRegBqokZw+VZdqvjNSgmevZHBxo/sojLT4gN5cxc7zupBlcJYkc95MTu5uoQVyzGSs3uBKt
kaFr1PSaqT9JPtXSbOuviBS9L46lMHO1rXeH0f92KrClheOI5cF2i63Q3An3lFDVgyN675RX2bgK
bTt+L83IpjGaJ1bBSt9Zi5SrT6x4I9rYRa9Vpnsz1sQ6E9GwEXU9rPmqN5tyOdOLiTa9hk12dMLR
fs7CFhdcHNmw4dBxMmIAI6hx7p1zfAw3HgQ3BB5BD5i3ae8E5/ylDns4+ujoR7JZ0nrnDJF9cZSd
PhitFn0Ykl0Mk72038AT907AqpO97unxXhVi2BV2qB0rL6JOG8yiZH+IgHddDXlyDkU+pBvDGua3
UPPafZLm8V3OwuNA/3XrkR+UrTktmdPR0pnP3NveCfcfS14hJueWZD849G2IAxheZn50u3YqbpBD
j+zky+gzIQPkjvIueDArxpN8O1juhwMmUTBA9rVBnf065LnzlZ1Vs6ZIdldMXPO9bTMH9L3C0LYQ
r2wWbP0gb+GHyKusmZ11Zs3DVd9oNlNHqHvwA4zgiOOIXlYPBxqZON6G0UxuudaHjE+NrttKLcnu
hMSxH0N3MPCuRc0Hmok4ujZlP79qDBeQyTKiNPG+l2JFnzpeRXFCjMgEDnKifL+a3bx/Ntsw2eq2
Tv/ALbbrvbxczniXQMY4wGQK96FA8WtV1zM4qoojsDY/LHD9VLQcv/T1qMN0FzBcrdz2PZhdvKBz
YW77oQae6s7qA9TWtCVEur9vQq4hX9qk6RJ64B5DVEyvZoxQlgWcGd6EKSOp1UQU57YWC4mqcayD
Ujb8sbaS6iQHwzj1OeJSjwSUXWUl8W6yS066Jb7zEBsh+sw6GC+JGzm7bmZxS8JMzavZ1V+CoWhW
OdcJzOcJRtlYtneDaNDcEn710CZef4l6iE9zPnFfs9c4uZrzf7k7s93IkTRLv0phrocJ0kgayYu5
cdIXubt2hZa4IRSLuO+r8ennY2RUdYSyMmMSaDS6BygggcqU3OVOGs3Of853rnCBlxfdqFlsBjoc
0E4qnbPHc/XTf+02/qcpz3+TsY601ujKn+/QT1/b15Xn9sNU5/cf+ddUh/JblykM+gEX10od+tdU
x8VM47KE2Cvvdx3dfN+UG+I3hx4AB346NcFwpTgjfN+Uu78hEsH9YarD73IY/fydTbmQ7yoKLYd4
jm3YutAJfpjm+9Yub0g1qt4NZhRwqmRY8VAZKlyPPiab4VymULsYpYuTZEU96AU5OzbOWe67hVcz
Itb6J2uydMapWAqeZd2ix+h6WV3koQGywnMz4J8Nbjgo1qN7rce9dC9GKafk3NpN9dla7OHUlbhg
joMuh9YfqmQY4aOGHOzJ09NR2Wuezpw+qQEApMzGgrjIoy943+2CybQrgceaaTtteizQQL1gwZbE
STPnA8JxSqGdEc9ne9HD09I17YAJXpdPzTKJpxBa20NH9/E1lnK8w+PSafCG9eg4QnEnPZrF3bpP
GbyjoDfvqgOoDMtA0zFTjlZpjUfBxk/nkY6n7ihVLO71coKgkmVAjIldLGs/UETr32YCUFNCewEc
cB07KPhbOyYu6RMbwfPU4fOcriUp+o5WcavvEHSYj1NIkCEDYtWYyQ47Uav7SVrUbFnn6iwGLcFO
lqj2XKlUt4l64NL2JWm4eGNNqbqfFozFOMUEbIq+n/Me10OPjXdi2SFeMNXZ5wwzRs1GaMirQHUZ
L2BhinrWky69zrTQO/DNWA+6m44HOBjqKqyUdyOmVWBNvLSdt12nVx+EabKmLGkxw3iN1iLFdtYj
FJN2ZpyWObdZo8vP+uzycB6YMJPPAesioRS42LmmVObbwe7EUzMkw5Mb2Ra+aCRICLc6AwEfrENz
SouBQEZckJdN3QbHVt1zWLyw5j5eW06jGVM8rxDYvT4WW5im5h0yYXWwARXfdoXVV5vRYHZu6DHG
xiYWyvHZt01XeMJjTnuUr0ccTb5aZYzeR1EERv9w9GY+gnDxLqxRS1XQUGAeBli4Df47Q35sHM40
m0LqZuZPi1fMGD+t2tpNqOX2Qc0aIVE1YEUJBmktYzCM6OsNUaJ2o5uyO3buMlM2WbsVmAwXhYqs
dzu8SWOZrYBfUQL112s2JMh+hBiE2wy70LDgqupmGd6CTkQ7q1U27QA2cg9CsWSuoUpVoyGJvj03
ucy+DIkV6Rduoel+GdpDG0g4eyU6vhW7hO7Nvrj3vITKMmfAYQLIqxAatU1Wmz7Wi3eVOwMHlAHu
Kaq3BI2oiwYmPliCXBGxOuidnj6WYtL3YGWWrUPdzjnyuvyk4lHsmlmEjZ9kkzNdKq/sjVvqyKrH
dsL8NwJ9MuwR3gPM+jo9Wl5R3kdxuu3zTo176CjdghWcK6XJUvtSH9wErdkt9YkXILCwoTI5qT8R
uF/OYsQ666PdF8NRA2miHlFDUMgapUZal001y2zHPpETDSCVFB9rkWbU3mpNfDcNpfyU5VODTZBn
bHwx4dparpMsN5RvcMsMO8+u8TRPbjQzLcFzb7oXEq/pcm1GwGcvNYA3j72ivAyxtreH3TBbCtas
HTNRwc+kWOY3YRe72ppwwpaJuPEKtOBUdm7KCZbNv6qajc6d5Nf2gL/KtvlrN//brj2lD/VAuKCY
65tOjP3eqBmN/dc+t//Hym9EGpHC/vzhfn7Nuvj1y/T1a/3TE/73n/v+hF+BaOs+25EmpDRiK/96
wguClfQA6JZruyb4S/7NP5/wBk94orH4Mjg5ktHnbfzHE15+M1sgxzGNJ1Dxd57w73JEdJN52Asd
4Ipy7Soz3vdn2dUUxq1ZEuyaiqNXkEKeOOxRy/2xxym1QbFjvrvyAegkCt1oDdbojwTF9HPVjc/m
lL4MkJQl5Ftij+Nw6Jv+JuVk7QtprLN4LQmamqq71s6fe5dziO5lz5NdcX+rI3QCJA0a0oiZab6Y
0l/UFf8cDf32x7l0v9HlBPEYofId4TTV87hfFNCjuUgDYt14B97Ktr7RpfO7YelPDTDvX8la3Tdr
1QukOtTV92VEEURuZyTqE3QGQlMEWaTUztQ6BUYdBT9cYv/Ga2O+t9oQpOIIhQeIpzX/EKuQ+gMS
j8PzVGicPIJSjp+dEAqOU5RPvcIE2HoGuJ0KULekYE9vQH4649D5urTGDYmomNna1B+Wod5bifPC
f/VQlsWlZlNKZtvtc6RNp0o6FL4EFmsaYdLqUzsXyq9NlFcI7GdlRRxkiLbuQlPneD90FyYxA78f
s3lr6dRQxqF6lePy0jTJR7NxkEEy3f7Fx22s39yPdiP+eNLj+godtdmgincRsNB24lGZmhdULn0y
GDUNKsL9Ou6p0sGbXT3XheSEOJK9w9+8jgitsfgC6OTrX38Z317o5zfirHwLeCEwEukWevdGVDzP
URHhn8t7djlG06B+aM6zG3Wcj438cz5kJ4tKGaKbp3ZYHipb3Y5h6uyRqfJN4Ylbc2jvV0M83pM9
8srrkkYfC0XLWv4rBrj4w25eSg7FLumM1UbG4vLzlVPSGKpl+CK2ur5gkcTU4ujTgzXq940mL5Fh
H7qhukg9eVjmtYhGf8RcA2jNInqMtt4uZNXAZjhYJf0FeEcsCYzWrfX7uOdPb6Y/fLsOjjXbFTh4
uZVInq93wA9XOLsyRyYJlO4xye9rNwXzUhQTeaf5eloPBGFHODkFZG9JZtVZu3wcm+VeFe0WFv0v
3szPcGZGEj+/F3f9TH94L8RYDLj0eRiEMEtmKiIyz2BrYa4FDvvuly/3bU368YJaXw8vH9lOvilH
vA83OuY6oictG5g921+StTgu+zaABsVVYd0bUU5lqCoqmn+12G8KJ7mRsbrgkPXRUTiLU5rQttFU
5MgN5XM42MznvF2Rdg90QmUnsqi5D6+ORgw7uaUwZQjYwmw0czkjBlmHVCJL1+CxmPNSkYD0SLv6
cOIEiwZU2uATreacNxpNAmgYmxqY7YEWe7WFdbdgYwbqKFoKKnpzufnrW+3nJfb3L0IKBk08q2iZ
+0OjpqnnXdXzRTDF2C5WtEvrqzl1IZH8gvT7b24TBmHMuxCIeCFzPV7/+JWvtY2CvXC8NVMHT0j2
tbQNHOcuTM9lxXV4XfyUztO91SwX/aDuTCVeQrdYlbXwYxvi1bG7LyCxNqWeHdqc+U3fXs5Vvv/r
D2SlvP60CMJW+Ol9sn/48X3qQLYiUTcZqQ15Vsa0I2GBNyotnkMe0BsaC/AU1GOCXSfuNvlcXrZz
rYiJNM8R+B/CfwsYT6vTsMw05gGlabxsu5ZmYTFlBwzE4T5qpHVc0LUfsbhUft30V2PFYcOi9YFD
FoYwmhRgG4D78qU+MkUBE0bU3gIyNql+ozVJsQWrMCBqVk9057yGcQ1PoZ7UR2UPj1TEy2Bh5/BW
MANAFY9aqlqa6IRZctlB8Xv868/sjxcRux0SG2ytmFryBPn5I8t6j+2GWXpBZIfEwjMWQSruTYdq
X7H765d6B31ZL9hvew7HXPUbYtrvntPzWoLRmZUXjGIxj8OwPJFtN091i5WGFC94wwYDWqkuu+gt
crClVya2duHxgJ36CmCtMiRfit3eGJ76xZtbX/vnVQYoks1dy0SXu+n9ti9PR6OwibEHaZFTdrhz
bO20NB9+8Qm836ms8A/wvQIoAk1XYpWwfrxAW5FFA31tYHPxKLrzqvzbtJuE9N8tSbyKCsPdFNX1
a97YH9JJ3dodvWv02/mOVQ7bZilq5gFJuXW6+YYJT3zO6bHetKFj/WJD8e/eqXTpBVwvC4a07544
PZJ3PttQZ11ZsaokDGlTGJsxuk/E/GcjY2enIxK5RDH/+kNiJ//zNwFoQjCYhYLDUxnF9+fPiIhn
v1RRBe+2dh7DyWGJQcKlfM8sxR0WOCp6m1+8pPHvXhPUMmKRxxMWzefn1/RoLbJo0sZl3IR7zvNw
O5J6PtbojQGY7nNVDJ/jbPzQxNYr7UGvYhGxH2qf+jaJ/Firqit3Lt9SxpxG5aA6Pfz1R2L9YZ/i
CjbTdBezCFOc9u39//DMnbXGICbUU2PpDgGThn1oh7sw5XbBxQgaMluAp3ARTbMgEBUfh0V+7Cqq
f3sZvrTNApJLWncoUW9pHO+KWd9FcHE3oMZuwJvsQSzxqKpw2tTVZ8nzFotftKP40ruAfLdfams6
YjdqNgXZWDUP4MHs7qsq9IdBWS8GdTdMTXYjUEUrAqUymm32i2/IWbeNP92fK9pLNx02udw7GLl+
/obKhBSaa8QORZ7OgyjsW2YOB6ccqdup55x4K77Ezo4v6znKfSPk/6mowmpV3m0h9t717XSHQsPD
QANTkGSWP4uWB7yDZx2jl0NkNSg8hrCG2Z6jrqfGS7F4N1O0aydprEAFTFXWFDAfAbhalVDFXOrF
8IqL5NKA9pzlxHcxq48pptNJRzVD7/gSr96CQTRX7bC2TfHW9AIr+Xye0/Sc5Uzmye69jn0faKYZ
bVI6xfpeXmJk3jecQWilzZwNdsBlZ5UM52e6wSsNbLw+GfiiC0qajGzexVbnQ12mWEU3CCnVn6c2
uq7yZwdEb9J//euL8Q8PWddku8ytydFudc+8WxkGGuZKB49uQI1Psxxs5zBWh4YccvV9p/mf7XL6
nxR6kciN4ttW7c9FlGP8Skbuda2q/nFI8q+f/F1GcUHOU8jMTMODVc/pjzXt90GJi3vJZLts8UDj
SMNa9l1EEfZvlCm6/AAaCk9jm83AdxFFGL/xWKLGwXZsV7cxL/0dEYXi23e3K1IDlwnDGn6dZRPG
+fl2RYhOo5BCPixC1tL6+QDSdYNSAHWlw53L9NAO5VMXKT0Pulau1Qhdxuk0Um1kBF0nLHgAdTPe
TwxczY1j9/aOuGBx6dJ8sTOmuL+rJibdpVERx7SpAt7UTKEP8VCVrISyCFCzp8PkDRIh1Xan+SxJ
x5/qqCqTa3sYaJDzoLgkwco/iE+t43S4IwCg3Fllb6sNA0GcfBQbrXddo5eECxzmscS/MThzCqF7
b/V1ukypS3uElhWmd+NgNwesyU4WGHP5TN3s7HG0MIYv/HF0lUIh4sEZmcOD00kbmqwGvXszFUa4
nzCCc56Y5FQRKy/MHa60kbUHvaCiZ4+tZtAB9blKeoNhRBY3VhFETr3oR5GFJs5qpt1YV9nAOIeU
JnP9YC1pWRJEQdbwPQk9AkNCqX2sOOp4G1be5FyFVfragAM9d5B19A10VCc5zcKhHpau3p6WcdNp
5bdeWWKiY+g+R1M1vOQYqTBED331VSya+RZbjqbhUa/rc7gk6hIoNKfA3oYMhjfNwyBsMzs/GJqY
brSFbr/UbIvPFBdh7Mpw0eZbYizac9dYzGDDRnbV3mo6eaMJO6wDYUV5CVhiXJgwVGP+UJn5qDY6
ER865oGRVX6Xu8abrCFm+Diu8pfFoSx9N+AjJRa9epOTpIXQHtdtSyDUWf1ZQ6h5JyMBhWHU5Yif
qWtuaqXVTIPb9gBBormLU1e/aoisaPAs0wKGO+DEbWYX9asO8fdKxz0x+KpRtLgBHKeDrhdbaWW1
7801kdTEHZmcM13Y91ZTUUVgqF0cZfOTo0J1qUclsxI76x7nukqeLC/FiGAu7sQUx3UJn/fLvVHN
800Z4Yqz+nn0M/gT1ymx1i3PDaZ9HHQuMeN6u4HftXcwRQSIWcDNut4NBqvUAx5kYjstLbWWWoLs
PkSU4YVteMRzXx1EEXu70pTl3tbj4rGFPeATcsBgYhWMLkjpdB7bzfE04rLF0FTQRddOE7Cj0Tbx
+vKXTtSzB4mbdKcGryK1p4n6QDS3JsM7zEezL9FJnIXqF9DkCnI7gBWD/uORXtAwuuGIsNyakOcD
+unma651c18LPHRBzMP7zYXGc0sGWgQpTsX7JZqWR416gkMOBd/bTWlDttac6/KRhLd4oj4BT1rV
D29DzCzGMewLUrXDwcr43alOzx/YoV7eKFE0Lw2sy9uSlMwrvYugSRrhePciGZj5UPun+8xF7HU7
pKjBm/F6byeTdlESq+J1WvCJE2LtrA9CNNG1NeZZ0E7UQFKV7Fy78Iw+pjR0bOPCDgGVy268Y2pN
c0GdUI5TVPkXpws9+hRIidSbXrPVdergq9p4elq/AUczHtcL4cFcnOWN8PFUB+6k5x+WRnduVTHf
OGT9xs0cY09n8mFM/J1aMwYAmIwXdhGxth+suYSbkOfhFSjY4ahYI+7COYm+FhgOq40cZ/WUeSVs
tY6l+WCC3Wb3YYbmW9ZWS8o3bzbYszMhHwZcLMIfBorZUeCiu7aIylfZWtz941DWm4oU441OjET4
oOKRXA2XAbKIenq2F/jIc917AXNoBIMknLeI7myNJNdA26qGybXQ+43F/Pa46LjqgjZvMSCWBqmt
XLm0kMMkHyB/mvmEh5ObpJak4Hy3F90dBL9mD1ICN/YIq+8+TalZldJsLnQ0uxOEjPAuyi3rJWzL
7EjtdfhRm7p7vS7mM3EfnE01Q+9b3KlZcagmWOYjzasgMxhTXWRzKxQWWyUuDEOZZ5m5/WXeZDGq
pvTi68yevSu6RXDbpIs28EHkNHtPEjMRTqoelIye5A/xGNkfBaaB7ThGzslgnH5rlul0TCxPnnMB
Wi/JhgIo10CcKctm77oolWJPNWNATVut5SYbgeAAbwb+2ne91MCUQO0mTuU1l9wK4oPEfHALbi86
iX6UR+WFxevcNd6rlpvDHmMT73kyzfYLNiJnN1eJeBgNHGeLVTpbl7T2OWrb+nMURtOrV6cLZiDT
7sF5aRkY9GWc2oMkDq1tkj6HpmKUbyGnC3Ly7DYOg9abu7ExNRUIG4dqHzJuTydoUBWhgw2qdELb
CROOHaMHdRHHY0aOwdIkERS3qNd+JZ63bu01Vx5VDIwEDbvA8TyN0yvRFNS3uCD3HlOf8maOdjFc
G9kQwxR2LbDuJGbKyxCa7K4cEnXbkiPjyY5oc1tWDnDqrqJj1ihSDsgZVp5zOQ4ND69RZlddN3PO
pyv4GAP9ICpkpuILCRk4BJoYJt2HDJKcPFtN3k6IUf8gnTx55JmdJT7sZMJFjleNH0tbs0957tZ7
nCPeBy9uJVyN9lsTD4MfP8N6cMoTeI0XydiVD2bZrGbrvksRGDTdOsWlMp+qWpczknd7kXRSEubv
yuo4dlNz6kEl3FFLIhj40kWPXxtTqxvRiYI372YpOz4Qj0V3BeH0T7bXVG9EX5YnfWrlPu8bnEyL
mwfp4pZ3HkIUEDi69LBXdvKpF21MjGMy2Q6RoQISnra1vEziOLnKwyZ7qjxDXrJha6w9uEgIYk3n
0bOrBvcFOu/MJEE+6xbtNUpmcyA0i8s5suCstfW3DoDsguBwDp3JZOa1KZ3O+ZASfS63de5BIrOz
/KWM9OlRsHRySBVtfSJD420ZU+koy4uYD2KmzlDC4L9QCoSX6Bu5h9O9S4bVv6KlaeIDex4/KqHw
OXC0k35uOtmLq1p8F/FguocWouWVqYYYvIWhj19Du/O2A9Gblo3RVq9XipLZvZaQFg/Qj7LN0Gf2
yejdB4tI3H7yxnumWfVTa+XtfrRaSJPO6LJipaOt06nT4QKifSS/T7hMnppZn/HRjcshwa1dYE40
kjuxUDF7HDQb2RhYdR9tOc9ZzxRGq081xNhko1jVCeLlHqt6WoTdcFhwAsd+RATT16Pc6Xy+ZoZO
SNjk5YY6f0kaOfEheiNuWcHjcx+mwvCXeMhuOIVyp3oVhaKV0jSaTZKHXI+cm5WO+pDoqaMhr4GU
GqxpII1UzZiO9Ur7Wtsc6/ssNQ9prnj0VgiQkR5bPrwd82GiAIOPfAfZZFMXnX3ZFbp+xpxnbaei
BcCDiZJ4ZFxcFAaETEfN0U3n9nWgSePKodjwCpJ+iIalT7e0ryRnlAtjl2kJ0j1DFHJaUyhi23cw
nwZjWAkih156Zcwzx/JmtXpCHLOLQ0HB3WWLYYgyK44zj/ZoYwZf+ipGsFHUIJyA0/aPQ0SANzBn
K3psWOt4gin7rnYmkQbmwC5xZzRlDglVcz0KiITH1Un68WpSKr6JnF6T3BVKAShS83J027F57qQh
P7jY4wHDOGG9scpRPnaysm9Z7JAwC7ISL9zA+s5UoEP9QsP3zD1T3jvLHF3WxFFZUcG9Bt5Su6CL
tPjNw8oE6G4CuBVk7DcvShCrcFeX0iNG5vSdfqiLXuzMjsniAaaUWbJqKhqdB2KV+oYJSEOThV7w
LfVRZPrW0DkU9DJ8Fz4QGsr2NKu7LyOavv2ePXtQF2VxjX9+eKkcSa0EqJfycnAdv4HJ1ftdigeD
OOS49iHI/KXLqLrexhY5/+uOMluaX5omtwM7pigN+lxIloooH0UJNFvhUplrw2KnyaVMrFx4OMcG
DjqjE3o0wjtcqn4xNB0J8hwaZlCXChCcXIynroO2ve+l7p48NU2zn4oo+VBpbqFui6pVIGrSynrD
eRtV+7opWrUL9d6JNrrjknTLIy6O695cM4l5XhEFdMnj8dDLvYlnlbrjnpk2tlkAourjhb0Gq/+p
j+EtDEV5wnBlPbEs2XeS5CTYqNA7laPq7+k17zJ2U8sTPEiaW7wYMhDLb0rjNyEJyIiNXOTvitd/
tvjx/1/ES0eHZZz/gyi1wke+SyEr3eT//K/gtXgt/4FC8o8gGX5SSf71w9+9JuK3bzgPplaIyZyZ
Eau+u0kBgTgmKXNjjVlhGmFW9E+ZRP+Nf4OZkeGwMITr8V7+KZOA6sb1iUzComKsY4y/I5N44p1K
YmNoZfZs8D8Luvz70WYNQXDCGWdtjTR5wyJ2BSZuX0vvIQ3rbKNTzoFnjOoQjRU7Erf1Il+cNtoP
3seY1BV70+hEC+AjOc89bridQZlyel7S9thjK53hUETheBlP+mMjzH3WRzvqYPbpQu0MJ7043PLg
PhkthzV3xxFiS37hnKftwWryi0yat7K1r9B29lNj3VqhccU9LWTEMSfeqdrbunlz72r1/TKH21Cy
6sR0uhU6hOtPS36vomabFsvenuXOsaZLp3Yvhqg4G7V1VVrzY437su7LG1TfLV3l+7yQeGr6QInw
gZEZsI/QeuhkdKCE/LoI0YOcmOWjs9u1XXWEHZHf9pFzYGOR+ok9fuxbD+tl+wzxk/pO3dqbobwA
7LZloPCZPSq2m+JsES/64cq7+V2C/kc5FDdVUvYdDJr3yvS3L5GcHooXhR7CfTd0ZMguOgLy1pbp
VRBhFCyc4hxNzbWt1LXTanAa4szPFmerMXse+Wb++g38Yeppe6saiyRrY4PRzVXV+3GolDSQKwgM
hDQ3kQmokzMZlR04N4PHlm1vs1gQaMjknp6Em7RZHscyMc9M5zTyOSbm9s1XZfbtjqGm9GnySnYO
rMxtWC0wk9vD0GQZObpIu9BRmAr45j49kEWwp53Nw2pA5MCdcs7HnGjnHLhiFQIT8cxTM7cpp/+Q
Go5OfFbgDAAGLrcDnatLlxg+996T2YhTSIjNTalkbeLmWBEm+71M+m8tpP9vq+Sf/lfra32uamJH
bLb+e/jsKSddPXB/riJ/6PvX9h//psvg+09+V5Gt37hqMbOz2En4hj/Y7Z3foCDRz+FZwsR6sqZj
vy+QFBYwvsUeh8LMWk2m9j8WSPM3bHs6P4nIvJKXxN9ZIN+PGpjzYOhipi9B3QhcRT9f2X3Ze7Id
7HFfp713Pw2tui6rFHec6SXtJ0q7ICaAl65/cUcZ0kIk/2ncZDAHxFUIk40/HBzIu1ceurXwyR7H
vbSGcJe0pl2/FsB7dYI8BvLYUBtZ7CftNDzndVozqLGqOvNdGuwGH1auLvd6XqObdFQav4QNocK1
ymBeE2gRYEqEXV//tr3Pvm31J2EQVGkGgyMAhjRuy7py1SdzajZmz0Fmj9XVeSmsYn5VlfAe0dcL
XEtiHG8pCkMxQ9mi9zLmbMpROiSrOBpieC4tJ9lxq1OMVhSw4qpkz0RLTYv0u6X8lOL4hbFADrYy
EJjDChpua5wBmCGKgGZ58nB+sI5q6bkt8MD4MY/YytciGX6AEZGkW7Aq1YVyxYxXWn11KkI+hB52
4ZiKi17M4Oin+MaNB2cHCgf/h4PDQDPKxyQpRjyOeKmMSdyPrkZHtCfuVEGEDjpP6efFN6ivaV3D
BQ3cmRE4ptIoiFBD/Klt7B2RvBzVmawDMYq1tI9OLQ2pmBziSbcRYGM2cZHZUoOR76YWrFKDPI3h
2NtL2XY+HbDMHmLmByLspuupHYAMcDK7WMKW0q68o82zGoqgIuPrG4wA/CHqDB88ggNZ1TRXQb7f
9zZSkdA7Y0fXqY3ryJEbEsoNLNVhOIZ6l+zNKRZgIOfFH+xSHEDlY0uvo+IYF6zKJFUhQiyKVXFq
te0oLOZoHa6mixJUxZe14+Yw0BIXANjVrjhxlsyYm+QOrACb0tLKLWTelZjozmGM2z/VTZxsblxE
Afl2ywsyQI0j67PVvSoHyKxfLybfexIvzks0WO6loxLjUzmK4kvvqNTx3awGxCvYYtxFVXbWZ43e
tqnVk6tUeM0FsesTj1cNr2Ndg/ItqqcC4xqfNdqBttEXttbb1p7QCzuCm3Kj65WUPrWT1U2RjxzT
SJgyvbQqANHkge0rq1uxWjMS3znvCgMqOOTpfabFVI7aWtsEWmHpQSPLRRAFNnp9szAlv9Rbk96H
rlHjreC8wuw5VhGxrxoptdEb5wUdnOxyKMiiIC1XmMMcLbxTk6vzLIOs40tgl2f8sOIiA+1Rk7J3
o4Pl5dZD1VI8CDPEJbxpuwPWB1NZ6IWGrPNrs6jGR1p2SY5AfpvuMzkL80RTEM2WtG1GzVFNoJF4
lhF0NAvjMUOpGKD/GNZbKafQ22G5UPQ5dI2JesiZVLvj2DXtEPRoysXjjrRmk7H2qZ4gdGjmafww
QLklY9No4Ht1YwcOuzbhqCXO3UDygZSvAhOWL9p1aKkvMso+dUV8puxiX7M32Q0cujbEs/PDGHvm
tbQAeTfWcF7J9BsX8ebs9Um2WQwt2QgykQFo9P6Q1s0Vs+fupkn1L3Fm4DSoADmHfR4dUBDqy9Jx
sp2AWr9zFFJetJrv4lDrV03EPQ3LLLY96ZtP7C3GnSqI1qG3Rgm0p3A6hxwr34qCJq1NMgmUttgF
qM5MjVaRpaQtkPG9bXxy0ik5glqikMFxrmenmEvUMYMNnWGUnfzaVMrI2cbQW+27pVZwX2qQWxBY
+q7zS7bxH7JYUTWN9HcLsk8Hg58Ak+vtZDwyo/9amw3rR1dZ1i5u6zDwCLtcjmxPbSKtzD1mLULc
iJKLqo+LG0bsJDRsczB9Ha/4nZNbmfkA8bMl76Gy/iKLmvFzrxXDVTcNXbaNK2BrnJ8Vo4Ex9vFA
CwOpfXa4sghCsVpEn9wx7QLchO4B9B1/2Mruy5OJT2MWArmhik823yP+i4nfMHMBRxNM/5C5/xSF
NEYLOnQL+9gDdL2shcQBIu03nk7JVVl59T5vmyhlZAfv9iI1s9mngj6Lti0gQZy4HdUcAd1A7ZdE
U0RQI5JNZ8B5EN5FmELhjlstnTcucKBLnGl3iYqyJxAFDKIIanzVY2OgXNrEb0x8INnbzeiOh7qW
qYXoPbpXTZ8Vj+DucQLPRkuDc1h+wQZl3ZDiDT+pPDes+64pWGbXHrw+qHpzVdBa2aZBze6g2mhG
1G4z4HCXUYKGkQ76pzpGUbYLMBm5MEboEl4wt+WzNg9rzfnciTng1G46wTSSQ9gnxcA4kuyQi7en
SfqHKRNWvAmN1LpClZzmrZKtoOtmam6UW96G5gI+fUjaoKsL7SbvrfBq1iYEmo6UkWtRetxC8Skt
I2AIpLZRhOLlMCeCrHtKG55Mdst0Cqg6f0J86Y36l8aZPyvW94upc9gq6EJd0KEc+9rciAOYD4lP
PtQCoAPn2s1noLmcBt0RCTmMyFEtK6WsimfrBPL4MTK9aNv0ExdAOLE8R1D+p97qgDBoS3xH+gUH
aprswFJAbZXGDvlcnOM5ofpBA6Sja07yZSb15IfDyFyjc+ml0QyIDPOc+aprxAbkBTUza+so39C0
ZS9o+h11TPhYlg9hPvJBFgAQCskHmzdleFm5Y7UPu/rDZMfaA0Tn9tBTdLhuNaj5kW1P3wbMe1Yg
9xTZdbR1sxb5FaZIYFMGdZAphLU49W46TXH7FsK6nvne9SnvaFdox9naazQib0FmRHugumrDTMPk
hk8s+8R2oXtJMF/Em5jE/27ogOVJmqPw2vWdu63KcHrxHD2/c9CWTwyLs7duBp6u8ci5IA01PaV1
LjHrzBWBOpvsum/NQ8mYXQ/fdOKHB2krWmv7XNBZz0Bxr40uQ8IqMRALNY8nZ0bXNRF5a97PIjVf
PQPG7qiL+brw+gy6dV16CZ+3kMcIdCTZMTx1x0gMyX3kGfZJd0fjARE7/JqTohs3dekWe7eNkoyF
yUCbB353jPiodZhRKe3boP6P3CodZKZIjdG+ogVmX+iCASIFORuLaGC/KRQuBBgl0ZcByDL19iRz
Kr6EsrjJsL8/CEemB7BG6pTO6bIvdTU+4yUrTkODkEoZiYyvoAxQnNAxCjz2up55xDHN5SFLlfo6
pJIsSQ1P7q51vJEmnKqmTjuRMUbkkL4ktvaQCRl0u6rSr0JqCY5xaOgUcVGmy8PPWRFvrYyeE6ux
guL/UnceO5IjbZZ9Iv6gNJKbXrhWoTw85IYIUWnUyozy6fswp2fQM+he9HKAQqKyCpHp4UE3+8S9
5xZmfvZA2t36oXAP9Kr9kxE6mmpSRI+OqoK7nFDGsy4D/52c9WzdyGZh+EVHBbsSfqG8b4NUkOoi
oTA3htcLnjOXuQQsNvTKRG6sBByPC600w3S/bUGX2RQ8Q5SMzJ3pLFAt0D6TCyB4mDIvKu4RFsd7
hrjNyiZdd20Xk74KbRAEUPMKyqC0XhzRgwSsWu3comgAhTkbdmo9ckVwv3XS7+Fx1ZbYFCpI1nmu
FAPgMtyhvZ13+J2a+y5z07WfhwgMazKzsdByzqAesPtU7Bp4I78ULfnWELVO2KzmLGy7EURg4Q3t
EamM+uBDO1+BIFBtemO5z1r+EtAW6Frgx2yRoksMl458rNhs3g+KSICvyrHH5mkakyZ/NgQT6I2u
5zSiE6HBW8OdSzEKl+0YwfjrTW7ZTgNOEUFv7L26Sq+FO8gb497kz2xk9j6chKy2yFUYUrWmeiIE
wProqtC9ERVuEy7U2uF7N8sQMmuS4F6E1PA7DiI9GcJ1vhrXXlYrDTDM1VCL8WpSoP7TOsShozzB
E1gkY3OdWmTAYkaSTsGmLE41TzcScmvGkd0qp3sT/Li/kMK4L0wFRXsLsA1r3LgNfF1YIXa5tQCV
bmUB9K13luiXgDk/OvZCEmJCCu+UHGuLh3ADfYioAhYuLZETE0LAnJX4yZ1S2KMV9+G5stg0A2pr
YHYyTo43g+HYd41RA/fjFzbIFSS0Y7NQP3PEmvuSZd1rHdrdl01LxMC9bq6t5z6x0t/IMYckuLBE
9YSkUPIcLqkS5hcSpeETlUd6FAuHNF2IpER1okcRIQpMkUzjqdewS8k7rR5QV4sn6QbQeq2FcroM
vZqFe0pFHV/GhYXaLFTUbuGj9gspVVeGeHTjut0Vhr9HHOI/LMTAkwZ3tdhw02vpGu4dRk4QrF6o
TWvd1MhBxqBhdO/nUwRUA3KruzBciVL67GT8y+5rfOpqkyTisWExuyLTE6Os6MM/XQBAPe6KZMd4
FI3EYMev7YKOxd0st/mCk00XsCwIT+eu7LLqlIBefMoY/ks3NsGa6/DaUM4+ElHTUF0l9T+uAyIr
kaQolSoTt7kP9WlGq7y1Zj28ZpaDqsHI4nsVeeljNbfOdmobVW4Lq9aXMULbSYZafRSyiJ+wiImN
UydVvWrToX7s6Em/Ufq4TzHcwt00A79TQdU+9N6QHSu/eevMEYTxGNgT5QEusO1YhcG6HSZ7ly2o
YFwmiAng7qyzBSQ8gVl97+PKhmXLFAPfcfhOUEn0GcHw3YNHVkeu1f46yWr6TBaIcbngjGcV6btu
QRxrqjy4XQv8eDZq4+S4bn0XKR75XnHe+wTCfCJ7QgE26+RrYtLtrXDmjizve/8u8GnWGA/y6Uq4
VTZxD60Z7CdD3cHr1+nCcsZ3swMxkt6VTh+95gHEZ29hPxsVz5VaeNB6IUMHGKo3RexYj/7CjY78
ftgYhJfcxoUqHS98aXcY2dQmZmnfAurJe7PgzltNZeT8BiQakTTXFu3ZlArn/xyl8mDwoFlbdF4I
sbXOujeGkFrCTXLrNz3W+KmDcLSe0Q3UN5/x6xeEe2YrftY15YakvvJdETjxNWiTQJhQcr6c0SuI
x5nT73VGCwKlsMyRuRQY0NtdmgXRl9QkZK2Q9TnfvSjFa2UX8zrz/eprHEgjsiPTf6sEQxqv0NVF
Uqktmoop5QWlxSYrg3yX9L57JWXd2lqMzg+8k+qB+Wh/N2e9/uqKrj9bPdg2ZQfRVlVJfpg6Z9rN
qDcuCtX3qoLb/976JuyXrDCuHjovVsFkzFn+WnPEV+uyqsrfqmzEeB8aIIoPhphZaZWLyq4bpPVa
0m0QOMXC7k9vusEubLEiTSl+blz6A6mcFeqSt4weknDZxDuwKDSQ9OuBjVrvRjTUdqzcYkcV0F4m
s48/7DCxbj5cfW+VWDOvgXX3dQLQOjIIkuWrWzR/VJY0wbbxp/JrbqPpDyER8TH2DI6hyJghUDRQ
nXrD2Isx+c4kgy0y6TDFT1+YDKaN5mpeD1o76yFOzaUYe+WQqU5Ti1gnGuy97BLjLFMd8NOEU9uF
LB8NUV2yDlZW3AVXTfLlQ+RExcVEUQRZyi2YAowRrGfCIM5sWcSRlSmPg8HQ7zQD9qyg4jnLNVXs
UI01m5D0A64qxSfNmM9jNwV3iYQmydCj3VthZH5DepbftbVs/LKyKvj6vDmL2ARITQe1E7mjr+nk
P05zbO25m4frgpUtVyy2AXUY3rDPjRB7HkOpB882H5aZ0IcpIjIDinqw0JAbZfpAZUfApsl5dQf3
TTDtQtdOxlfswmpLaTxX/ji7zN8IR3NGDEGE1TB3D5F7PFEa5Ahd4ix6AHoE2GvwcaO5sVinuZNs
HIWoIogmPpc5WFadW0WEKkdnJZde1Z7dllki22M7egPYZO9UW6uPdHLMu7TqMoIn47+kg957cohx
uWv429ZV00SPMUrxO7M2kH9FYeWfIY6zmamylAX3pM61Nutz4ibBVQAP3ZWAoOXGJvvnfVK9fmC4
pvTWcxQlTYDSftv0xjSsZpdIIulOP+HczBtC+fBYStv8NWaZHftojp4FJxNk3s52uY5mmx1ykO1k
ineh9cwZEBXTt9j2cTpYaRHcjZmun2ZjBHjYkRe1jw2nPAhMX1/kBvmn2qvTF+E1nIJgghrmjYj4
0URw6/OhVjgtTfsVayFaXNPsqbl89+AoLjNdkZKN1IF2zwrIIDVeAt2rVToh5rWI1OKnWcNkT8d8
fPIjO183U2AcdS7qk1GZ5KIZZfMJmqTbGLJKNgrAO4exOtCu7zOC1R5A/uldm5E2BeqCi5TforNy
g+KSj/6wcxAf+WRWpnjZpgAujevEfMarnnGDCIjEhLjVoj9GbXaPXlS9Cpbtr8FQkuPeTWR7MLlC
XdsLoMJ+Xmb0yUNS3zJFMb5LPDVOmxmme7kzcmZ55z6ObUaydYV6sWD4AQExk8ZbmbrqFJgxJgty
z9psHWN+uM5T3CZnVAbJM0pQtMvEujHsnT0E0Bvkeh2uGbaEczeIz8yexTUYw8ra+WVusD9Mhch3
nlNxbgGyDlvW+lAIIWgHzlUhjocjEiZkCWVBWL91CLi+e8OEch0imHSPo2ojcZoZ9d+gbJTvjRMN
eyMtm4exc0g7I4RAPfWTRPBjT3bwWA8M4pzeLR64bj485MGbKFDZCot7+GlUTryrpxFeLiHtsEjs
4jVVqSbGIBibXSdiVLallTNI0UfehXmrzHq8F4nyIQ1WYfWscQduSAiab4wvvVOA5vTRwbzebtIh
qC+ym9kV6sYJfpkagNKWUL7ZAresDoxxJGrW8BHiMUNu5nULYvk9CQQXBCPU6U4Xrr9dYohqvyPZ
uGSHnOmoRNcXwWDErrixc/Zskc1NcFBcM8UqAeL/DYVIVesYT49ajVWBkIips/cU1A6IPDyJeUiA
9GSQiuQwqcViG5TZxnEq5HbTZD/mbqifcHvObwzOhycymctpFVpLzJur9kAwnRcHTeODU2t3mwRQ
0HeID6cN0YrpA/kjE335EIhPXWfxRzKK/KwNq39sDTtrGEFasXtugpGti2Xl/BoTAH8/JVRZa+0b
/fs0a0LnBMX1LvbGdI/OcXwYwxa0mO8ib11nvBFPFZoeYy1rW/5GOIgwkLmW9SwjBr2rpDCL5zTx
EfkTebWvQjF7XKfKWyPxpJEaC8e7b+GYXRtZmTioHNImDQ/EOUGPzQfo5uRezCnCs74JxJ1JbhRj
nFKl5YEoOQtlZmif2dAKCYUsgTmjOuafOAcKwoAmI/pJsmL+QjfLrGyIKdhWvQn5HSIktHsBp7Dc
z22fv/G09SRr5Ak3AVPP8UGZTvQzgG/kgONDBMk1f/NJITk6lp7vTMD5pziOTPyqhTpztnMBqdD8
VW7XxpsQmdQewoTxIiDCPI2i9U+Il5uLO+j+ODtx90d1brIXPLbNagDxCZRKj+M/Io0KFLpwGN0h
T9da6PJQurN/8ji3YTpX+bMLovJk2Ci/52zqfkm7c2owc5O7r3OzPCzbeWo0WTRfVm2qeCs7v7rS
IjH9rkv1kvVO8BRQnf3Mte8/z3bLL4ARd0qivkJUjAYd9jrrDoLNITxm5rDteA+fy0HpH26gIkDi
P4Q3Y7aciCyS1k62lYofO2hR16rKPLYHnC1kFYKYO4em1o/YHPJzbfFFVoQJTs7CfxRjyTTBnIru
c2astlzIvX0XdErtWFgLEoPLIb9ixMig04apXT9HbMyfxowVW0xxA686EU8st8pjblrxlbDXGvL2
iAKgh62IfLrdti0u0DkmErUgpPvEl8kHPt3GN5yEds1v3+OoB26IwvmLljm47+BKPk5j8YtEdlNk
nVw3cRWs7TSc7oSeyEwZnIGECb9ap3H4PCV4WjKRe9yMjC6PCMm8dOUMIwxu2xQ3Z+D7IimHD89U
640LIDglSFoNu572lQ1Nx4TDSIoITW+qP/2Y3MnINC3irp2xvboU9HQCuYcYPei45UCJ1SciA1C8
TaFUH5gdWgBdwQ9aYRSntVbeQyxt/24Qlfs0Ms74LGGYeqvMipBvgQaSp7jjaRpMeeBUjRZNBtx+
k5lC1nb2n5oMVWOlsBGXa6tSBskIM28iGQ/DVKw9SoRzZ/jlmyO5suIipGSJmXCSxTPAu2DbUq06
q35dhKFHcLHVNm7wQYwxEXumbzrbAERitUdi4XKbypGlldbFp3AI2mF32G2R/QV/0PCqBZiWMwu2
gg/TjxG0Tx0Q0XVm9oQP4OZ11n7K3sqZOzoY4teGs7IVo5yigb7GNodxb+191R5UtHWcawNRpeKJ
ZEaSQKUFpKlHj0Mu9JsaUqmKn72SnQ/gvOGW+KP7i/dp/E4oW2/k1XTtCvHtcv4TYn0RYQqNcXbG
8bPJ2F+SmELTw4iU0mTGJ8VJlXIY96j92MNk2uGiyXR8Nxim+U3mSlBshzoijrWduLimMhTHqIKA
zDdlzDzq5HjEtdMfJ0/DjE1LWR1b5dXuppY2bgAySKa3Jshs9jbYS2y75s5H2qGRCJlVtK4iXE8b
7WNHgfTF6a0HOzvBD1InOSoAbF42+T84IaB7CZONH/EPFbcVflwQlvi+vfuabFNsBtrJNI85t9iK
MNC0XwnROc0lHEf+mixz5QGROpzKAlD3S9637FHsMjuPvY8BQkeGcWTIXvgbr1XLfxj40K2At9ov
7GydfDWwEPXXRel5vxCmy/uaDeoTlxe1S851Cdqeq/2ozQIULYm84zvzZnvbZqlxk0t3VQQku2Mz
IwXCZT9IeOiCrYK1fxeEvf2bucSRa8Z9OyMC9r92rQ6mL0Ge2IcYDkNAxcoJX2a8B2jVr4GXMyQv
MDqwprG3kBMtPlm9vTXS4ck1mIzGaqC7Vu8dRTh+jzI/BkaJYSCzCFOYmv4fi+jpu45y4t5eTmc5
T8HG983yQiIwuds9/zanHlHDVqfMdxNQwb2ScXaXtYO9rbQZB2sCksAMYg14j0nPfmr7vrxUWQML
LbaMrWtHZBhavvmT172/JS2qvRSk6D1Ec5O26zoZkk2XD/OPkg6JhzgbSUjEpEe9zpiYAFtv91fw
8j9S/tyqgn/+7wC0v1T2/6Pn+bf/Vvbzn1U///b/k8uUNRtSmv9eG3T39RtPX/+VOMj6X1/6H+Ig
+1+AuIArEVxjQlwMkL79h3rS/RcNqGkyQfgrDfpPHlPxr7/UTszq2FwBKfBC/rd40voX6gc8plj7
OUcAfP1PtEHEqf2/8iCi7oWAf443/r8UvlmkZM7ZrHZj3hEGbbYy3luqjR/Ay8Hk8rT1FjQyIJIS
qfMlQZBtnYIShUcwJOTNunby0DbkwsLRmdxfQAzhbUZyRKZkJW1x4TTt4lcJimCCwl8Fr3g8bQCC
tr0ZDcfkHsqvTJTHF98Dtqvjrn+oS/MV/eWIK73kqPbq4ibnkm2n5zsPTBrSg80K8iRmxiOtLLrH
ImPku8LEOy42Rl3U3Ogcs9qeNML+CbFdqcv5jIYLP0rbBRO6nAj7IxCCvDrZbXMtR1HM1z5UaPkF
aoznGjBvv0mTtn8urIo0nNkdqJpCUhhhSLp23B9tmTM1pXmufw0j6JB6s75DZ1DA87t0YxmGpz6y
fX87Da7dPk1TVv+6lCzJnvMs619Zx4a/1TyP37M1VNbBbsOm2GofriMLA0PskjBs6YQE8ZgPlIbl
cJpZxPzRRExBk2Ac9MlC37pVArOVAyDmyXYnbz+kKXYRx4H1bMS1uScqTnwjynP7oyNQ5yHgYY+9
ymNhQk4fuXNE31Y7K5UYwgA9ZjGuffPmMlr7IJSHhVdjtD+jqfx7hAmTv1VBwz2E0J7dPhOXs2/Z
eo8sfghY87TFnnfFReHjkX6TM30NV01S43DvCQ6QlpYXBwdy9skQQlyRwhvQFc3SxPgJF5Jsa85z
Nhv5qo4mDlHTkcm67mDg55JdWOegDEVQYNt7TP7+yahTeXHL7KcreFo46DO5wRsIkTmR6XOg2IOo
icbUzPm+uyBigkNFixvEHasvc3FrKAwwf2ReBG9uW/CQWybr7s+4RoAEYrxfw6FcxmzkBsjeOKSj
Jzc4+ZK9maLQ2egiTM5CF9eFpzyuyja+eN7kPfm+F360bZ7cySFRAgHyHO8b7Qc/bUGSGyWOkb9D
Ku2IVbC9Ua9EIke59l2b5JQO+X+2ztN8DNZmnKf1SZWOsfeDuSGiCmz4hci0hKKhvBIlbW6TynJh
fKXaXtVOeMOp13+0rk8Wad3zvIdD4MXUyzjDd8Q6BM7BjOiWuAa7mIF7FSfrZIwZ25WxSMn2gXA6
HE0iK7CFdbMTIIkwE+RSdkCzT+xE/K4GFkjkK0mNIZfosPHSTKxuN3E2kBCLx4oen3bZbtZgbq0H
VvyWv6oRxn5gxiQIfhWg/4/2UdG5b+wbGuPec1XcMiRJ4m5HnAB1udsre1rDCHS8HWXaZG7SkR80
spoSuy9LEFmO927jy+4u6oMhRVuW0oQSFuaW1zgYMLVNPkbeN83TFWBtyCE8RNIIqjWKEJTb5RQy
26wh5R/IFNI3M829Y+AhSHrOVEVLjY8oTP8Z+qm+9HkFYhD1IpXWNFv5a8sLtdd4ZbN/8kGHLRzj
qK0ZGDcw8KXnkwxlmTOTcBUYIHXJgIPjziz1TxumDbWUM8gtGR6ZOvJkUgbVS0Vk0XJTDVAllUu9
JIwRnRtMwDA5da7XfjthjtAF62mzpBFB5034XxwSo/1SLtUZbvaZ7MHMcnf5Urh5Zt3AVVmWRL6H
13E9E7Rpg8kpKPOIF6bk44DEENWlXVOt+RaLDdMaCsQsdsgOyseMSWRatsMHJUpw12de+Vax0AKf
S6tw3y01Z9k64bhqwYdsOYekQQRIOByEpYe7PmzCR0xBYJ2DpYpNDTE+eYyE0bgDoSGWAafNoD3I
6tlSAEeNjcsQ1D5CgmZKzppqcr0o125WaTtvhRbDzmpJAWLjK45dMkhq1r+l9rhU3aOE9OQYyCW3
MjFY8wD67fbm1IWXutLGmsxpLP4ZEJpV7Jb1g4Eu8ctcKvxksNxXiq/sKLoezG3bR1duyyTYN5av
biwnx2+mtO6vvbQOQ1vQ2nnlc8ixRHx944doe/rqOe3cke3YHNenpsk4eWFtywOTR4d1dQ8gniTi
BDmU7pGcAYONd0Hes+5TufiQZFs3GJFoirKlPQr7qluVCXpNcFzmIV06KN8vCIOsmJ8OB9PunC0y
wAC/cl4diqKvaITT4d77258RQmOlu8niG9amtP7BHG9cuih14rVdSqu+TIWDc0dROb40+ZD7xPwV
3F1lX7vH2mXFQugqzWT1t7Gclh7Tw/3ERm9y7tImCx/Kv80ouWs/XM3tZV46VXx8NK3D0r+CKpDn
AsdotUL/UF69pdUtEpvfa7cPH3gt+rMYQpOVohLQvwciyW0fDG7yt4uO6KeVn/7Dxi1/IU4YSVBU
JPqen175Yc6wFUZPG3usDt6+sl0ipar6t18a+3hp8alcRpzgZfGOqg1FcGgk8bGsECJgiUYDheOU
z5u/iMSWAYPJOiKGDx1OTxbdev1cqtw42UwXPlEU08tJt0P0yuq7CDYET/cDokalv0XTu58qqPun
kQWzcySAJnuvBinlw+TqnA9j6pbf1TJTidjDwRMfK6Dd6u/oZcJdne562fvE0040ro63jM8DzSYJ
Mz2/TjFBFGv+NA4zlEZ+v2lp5dceyWUoKiLtPbkp+d7eoDiZ+eFarwgGS73VmhzCNV9dEAAvwRvV
ZF7up3nQf5YRKuF8Pb83lwGVt4yqyHOsL8MyvvKWQVZWVf28Uv5EfqSX9+kLio1yHy8jsGQZhrFr
EScioJeFQJsQaQfJMEa0prhsJt4ctfaznlfYx/zPJZE+PLRpoVLmvs781fyd0jWjM30ly+hOq9F3
t0r1peQT6+KXt8cpzh4tpF9nfvAMBW2+vIRJWDMwZP5UMlgO5iuFaUwriHt9xU5E1lBhc8aO/Jly
b4dp9RniCOfz5pTDDih2YkElhyWhvab+KCvNLBGMefmV4e44uxFAIqfr1LaPWiYBAc3gWVYMiFa1
5WVHn5e0JWJhntbwLKo3Hcjmh9CThnV85Xv3ScxebhV2lSBQdRovrarLWxV2vLa2rbz7KiDJF6U2
vS5zZziGNt67R079adOi95kPFDtsyUGByRdSApdzZ+CYVDZBwKIImRW1EUXTZiL9qABSNDWfQZJy
1RAVPD+0RcOspe7G7kvrytv6f8fRBZaTByex4Wj6A/0182ksB8TRMMHWrQXvWQXm/CJnHd5Q/2fB
mk5gvk+m2DzAXIHnAVnNfTdDr4+fMwJ9Hxs3dvItB0zwq6kt9WoczSnaKW5mABuTd4rzCiNlUmgU
mJVjMDPyY9DVkvfsYCZhv/c0U8CVZ7X+E3EzbDCCcrCfQfrWm1rI7jVmzf7MJDx4HP4uFOJlt5Db
2ut3ZojskpLk72ZC94IJZi/Fcy/C5CHtZ9b4yLamB89psh/I7M61qTmoD+Lv2oNIFrH1es/45cRL
d9zPYkd+YvoP+6Z6mQh4L1DX2Zgo0xBXc1mjwG/wk3UYO6S1NjY2fbiD4SkWlf+RkRPyWJit8V0F
Rfps/l3O2AqxV9lP/h9AQ0l9maWqIogrXvHrAIx/nYdxOuRzjsiy9jLChph4AdL6uxESRB5Pm6Tk
FDo0TSEOyNeYKssp77e5qtXe1J4+FzHgD2TmprluvNrZWlPXduvSzvOTmRVIWl2QLm/zsrqq/m6x
/MlvfCZ4ybjLrKpGn5IB1TFk0m7ZWgGpkYo1cdG9M0QE17BszSDPgEYr7eYzWnZqXE31aYwBjydt
zcnjSiQ2g8+acbIZVSbLbs7k8Fo5RvxqL3s7t4V4wlMIOJ6lXsVyTwmnPY5QEbZNoPOdC/t1Hwwx
Gsdkiv6Jlp2ga1ecf1NoMDgd6Q4NTbxYoeP9QIkAlH7sxb0Mq+oRHkd8bNJa7SzWfQdLDdm5kX73
MyxLSd+YoGQSJ9xTu/jVzeXu24lgUAf84PKTckatqzC+JiVHs0KiSDFHjOnA9BknehWda69P9nXY
omhDNXTplmUpc9l5MyTDD92DxjQQICXnJs7I5B30b4aMcNimQ06KZ4piJ21skkVRFmjGry08H2Nq
z23D+BShfnoKVdZ/zUHzO//d8uZutFyndGN1XEZHMbUMnQx7Jn9FQo6LY7raZFkcY6ctt4TROeuG
LNFVu6yVwYAQM1mYqCkbjN1nwbrtwoqUaAWjbtJN4LXmgzd7UJsNlHxOFd147J8EYcj92AFHGdxH
cH0BiuR8JmEpqzFMDOgd2Savw0xCgGjmNEZ8ostsnTKbfa3YlL+ZUoRruk+yKsKyeRGmHr8SpBKP
YrYZvJpkH99NDP8Pwsbnjo8tdPaoK1nPm8umHhbrAwCS9iEjtQCdqz50y2I/Kzt2/CbGH7KiWlYO
mee9k5DTf9ezuisWjYDKkYhAHkA4gDZIftuLmkBSbhAnNVa7adEaUOjN537RHxCx0D2jqOGeCxpv
g7u72zXQBVjLtgYxUnNh38OkHm7apzafFDNcMmgN/dFESBu0ZfdoZztiSCdHfQdlInd56I9nL4yG
50h6OX2ONncDCtFDCwhs5xiWeAvKhmVjWUvZb/q2n80t1cgjpDq/2SKxysGbdFaBnrLxejgsXYki
1/Y1V7jVsGWma6MbNpz6UxcUT5vY6Po/QIK1f/PlSOqTZZclnYmGm6i5TX5b2xgcVtLFeEjnpPxE
6Mt4onNsjOIEHdXysUhr8zVK+oryO8OemTr2p42fBGVDbv1iUa+sVebmBdkW/ByOHd3NDkIHjYQ/
j8lr1oyDtzKC2k6e61qV5WGUaFRqKXS9WFdn5Fe1d/SZAB3Zftr0C6NTPlpsycVhGZB8Sc+wtj3G
Tcg1/YgQw3E1dxiuNOPZUqwj9dAjtkBw/hznvv6y84QDQFnFwfaSzzZFtO/AYiq3+ZKSZg7MWejr
cmtDbIx3QyyjyQuZUQtKvPwA/MoWOSISudnfM1Z2jJ1DkprGXVmUwSurctvc19yazgqM2FIyygto
oF0ytClvhA67mcgEc0Z30Ifmn9ocu/sATMObyZCbVBRyxsm61376npRJe2KCUxKswHYOwwcExZPh
p05xGxbuFLETvbgUAIbUGcE5YI85nkidGowBZThQN40XLSyaItw2tG97Bymtz4mUmAODam++o+ls
P2EBzdVuGBjkZ1INqFIc40a4WXBBs6TWlJDAoToAKnzkkvaeI1+w7e2K9MGKHPcnT7vgjckMCZjc
R1TStbcvs7y+98K6+XFbCQojIYjkMuKa21lhnP+mCOGiQxOkCXy5uM0wl7EHYbYDUsOj4mNgQBie
3ZLLzKrf2gBxGe7gWqqlLewk84i8Yd0fQCxyiXQvuwG4pMSwi+yYDQghmmSxJKCVKIfTeAIuZhZk
RSo6sXRX+FOQ73u/Nzdt5mlkNG3dvTtRs5TKqM+4c4DM3NColt46YmL5UNK+8F8LQnbXccGDueKe
zsSp8Qr3C5QBScMEbY/rbJiI5EK3xFzAM0BOxMV4GsJ6CeGw6jdRWMH7LEoEcLKNjccqIG92rVw3
wBvgqAk4NqyZXZJ37ZFKPN/1c00gUTR1ivYOhxGYeGQMiBTiQH66CEX3pegE/JcywHTHQtXYab9j
UZIE3o9g/mGgiYKcjedrEQ5R87ynijg0Qt07kmca4TwWoDwPOUI5+Czaya+lkTcHQkYb1potvcca
qC/8HKsV5cVKSVHDxlXwISkcsg63PayHZh/ZBdYYTA1RUYNgb6Nu2xVWus9Q2Y3486Lxoxc0WHwn
gXrtJp80JNGNIDMGXyBnsTMN99RHGcdSPaNK7vLYugV+gBvO1YgOogol1hk8F0sy6fXpFwL3mblF
MhrWbpIWnJ2id3V7Cn1QxWnZ0XTxeAIUyeQId2vlmiOq9USrfVGiCmYggtuSxMZyz7Q2/y2bwr5D
mcfKLc86ZDKF8lvxkHRSv4KmS9+awUQy3k2R4NuEZyoALvlw0hK3w2s58Kic9BQhatZt0MCs62V4
I/CWbn60OX6QI6ffEVYz5iC23dgXzokEG54J0g50FxClI8oUvKOSjZNzHoq+m4HHjv5PS6zNC0oa
EpizpOChzmxGetCd8CTJGAn9il4A53xGFjvJqZXlyK/RT3zggC2zUrKMgnsI/cC4fM5PDuxUIuUv
OP9nlJDE5+Dn0LO/zktr2cvFqK0g1/f1PXDlcWBIm40fIkrxtPhN98EnqbUvrWl2e1lL1V1q0+49
6mUfyKjhqEW2kaTxbrQXH14UlchRuJY4V8ZyzIuXFMkOKp+KXaHZ6UZgDzU8d2UIQsddQXqjYSsP
QhisrwuOBsCNdJGGXNft2CDTz6s83drkaD7ZTZTV+4DKqKVlCtWmIS+j2/YQc+4G9CHDutXoehoz
Zac5kDDDgWou4fCcqg478GLcETJpdpdpYI2/NhpumXU+1czRktZkmKR8wTkw43+5V7NG1JRzs9GC
CZCxUZpWNOcO+LM9CltMT+YgGRZNFS9YGqOK7hRhiNEuL6w/fWYE1xbJKJNHNFIr16g02qI4xaLv
xXlNUGFeI/5VHJsST0RjPElajeDVTgiAlKJPaGBS3XC5WL2xo613kz8ugUSfOQWZhzjfTq5McaEu
ULg2sGn85JrlwXQAVRT3OyBy/muddPV5xnfyiheZSroM6vQxb/L32nCibZXgDTymXCJbHC8EcDaa
CMhujMovFjrGb5XU0y0l7taA9rfYLXyO3emccxW26Mrz4p4ecgwOZH0xy8768Idirv0206B4mc2x
hfpUD2pLsxafyFNFbK2r5TsigNNZOUKQwB7n7j8WiI0dUwtnNzJQODPScclF9LpHZU42gruickhS
9If5QObLv7N3Hj2WW+mW/SuNHjcFHpKHZvAml9eb8DYnRGREJL03h+Sv78VQVUFKqbNQDfSggQcV
hAKUGTeuI8+3v73XDu+6WlV3wTzyDUhS+loiIzTuF5s4C57Z7R5SqAXjiTRntZ3RV8LtrBxcdrnW
okSJqgXUG1iYy/YuH1/wB+VgolvGkUquEBtSzL6zGOZztXTc7Ikfmaxnos4lAZkaAkN1dA/aE4DV
KKY3kIUbU8NtWOn0ebj1nCkwClbNJFBjHq+xznJvSyL7PmU0WQ1l6tLfSJLmoaGk+oGzaDj7uhdB
etJZRWkc2+r6GYR++YPcPWdRs0EH8N1Wzz+NFnao75pJRonKiNhPuRhIIUrMVxYL9IwTZWPnu//e
z1IR2U0PUwWl5u0jJ00Xt10Tv3d/pNQYFpPDr/az1x8xNUp/81f+hf6FWAPh17X1f/Yk/b6XdcVv
ls4/UujWFxUYMsM/oA2G8ZuEps721dEtocNv+NdiVji/QTkQ9C55cA8WavB/sph17J+JKPASqOY2
beYTjn7gbf6MbYgHu3atEvtDlZUkzQmmEstnKapjaG6iTePQvwFAIdh4uYzyjZHlwVnYRbYFOV+f
0gTuTTDqOS44M4ZASla+XxkGZxC8y8ppdkYhqY8QcUTDKte9TYhsKGjrU82R2239MscyI8dXZgeM
HACzwCju+3zoNkPbLzJFWFzHlmN1qzrsBm8tTUxxfs49EHf8ZHHqM6ymKQ6Gm1mnmK4c6tsqq+Uy
ZmoXlTT4Y/UUVAhlNaP2CaityZfrqPc99hr2XrpimJNJfCx7wIurPJ3LsytNaMfsl8YNSgmKQUqu
lXxz3AyUaZs9EZikSJ7IFr6qWY8vcRM/BKRzCXjnw4FLfPOGZzc6WQb9a0HT2ff2bGUXPU6M3TjA
GtXpQeYoVkSHYdI05hWd5tgm24I7njceL92GKBdR0xo/KEs6ddcUizHKcy9uOWYnaJ1kytr0wwgr
ueqBxd0xSyaHgiT+RpJd+zbOpU3QCv2ahlqt4I4GISODOGyaRzxvCWF/8nRkG3qszqC/pHvSOnym
jHSaBcssEwI1d1TcwfPIcR9FOOs39tSO0GSzzDswpxotc3ZYX6eohAiZObkOmMv41hQrhZMdhsxo
S+T6Gu2K2S+vXeyqeUMO/aTopGGanCpa7mBLwkaaq5Ac6RCSWbU7hyBEMdFp247AggLoAguEwK1j
PGc5Tbu2xVGYio8EraY1rmLaC7+RYTGALcLTLRg1l6c0sO4PPfdx8bFtZAflFIf0cN0JJ+Ot9AZO
btbo0jVtKHbvrkDKIrBmGs+9VORJKtEov1KNuPWkZ1/bhjXkmI+CEkuvk+1zz1ILUBchrNNpmqU8
Mblt48jkHhAtLKV4mpj4eErDts/wrknqZlAbbDu+w9Tq7mnT0/c2R9MtJ7qcA366cNkrp7ywaOkA
/t8bTUxdmRq2DppXqerRL9NpuOo7XmPBzuKVU1V/I8tmQC8jseM2xXU3CsiJEx67HnhPWmeL7KPx
klHc7jesiC5kMUxW55Rs863GH71TTUNRGietjtG8MZp501N+OftaNbIdpUzz00mCV8aC5sz4WVxU
7Y2HsGL7D0jVqfc9/ZOUdI7lsZhbF7yQIYLrBDYcPVtDUJz6WGuoP1cCsjVUCue2iLP2SeCi6lB3
MufSeqJ5GQ2rYCvYVByJHM7WBOiDfjwol1M+UnZIjljHazp9s3TepHusAWrdguz+ABZXIrGL2rar
s8tn32OO5HYongncjOMhSpazfxIO2PFL00r1d9MOAu9M8iZN1hLcKW9FmXrsoB0XHKbGj/dxj06P
VG6Ktey7/FkYI6TMqIzB1+opFtK5kz0zWs9lesUlWk83juyz5zge1a73OM/6umU/9bWnzsLs2iuc
1MVj1kjJlsWwUSjwsukfjpM4O7Ak2YWKdPobIy3YDl1CspyqSfO6FOP0nVS/eM0aqgicppP7kW8R
V9gqRAvoqgcVG0gRmT7LafQzuNUf4dCVt7NlB5+J1k77lFnoo1EjGpOh84NFQAHzhjrrJfQcmrJ9
IEVuub7ltG6IKYbG7zvS5M6wceCtggKr+aOHkJXPmlwpZRExXl97Hxgj3St5T03TpcidyjjkTEz5
Rhqx6lciDecHlpSLWySykLuA91jRmgQAh2VDFuHAKcZLLyPLJ24vobmtRMTSau4hMhpVUO4mxgPO
QiVvZRZeQxnJzg3Jal+zxpHKHgsxweTGs8pVW8FOSJBRes9Wu2kc80uIBe6RPXSIDu3ROz1bRvWt
xzYIwjblK7Fq1VjJtdPXCwVEc+dt7eRLDWkG1H2f4hSGmRHn07tu1TSfDenkfY9qjd1I9UWTBxAA
Z2L6oswz0EKc17/o81YsrYmVNlD61nFwF+ZfrHpYa3Dr7S+GPa50ePbOgrZXeaToKpvZg6oKf/Yl
Wwj44ML4FrRafioXPj7wEYLh0BxgK7J1YsaApO+MMPXbrNHf6m6+swbAkWycgv5eH1MmAKQIvAFd
0jjABUgPtitjTu235gven1aj/dz0svewOeJp2TN1D9Gm/yIiwkXjmKlzLvf1SU2feP70R8mG/b5j
/k/X5UJXtE3dO9V8h1ejZlh3oq2tZ63FAskF2zq2UitXMmlCSELTZYbNMvpkLZiUZMrudj4aX3TH
VmTzR/7FfOzNhf9ozK29bLfylimetzJcsZ6AFwnbSCt2UHPMHxycIEpWX3RJE8TpI6H2Yfnp4CeJ
3djhLmYX9EgqnuudgzrMdrz06Blha9Vda19MS23BW8KyzfcCC3+JIKlTHIVwOAT0wyxcTPuLkZnn
iELrNm15o4EVLxzNcWA0coc2Q7dN9esmWZibJEcRGpsFx1lKOPL4koF01guus1/AneUXwzMkH3rf
zoA9AQzC+JRfvE8s2Fxoviig0RcR1CAze82zro9BpOnt3saLi5wU9e1nm0HxXOehCilaxcvn7EuA
/4SXetOJfPpWY8YnPeKCTVRIQ63rcnVxRr2afdairL1DKaoPQao09WlhKY9ttPj8LVW/u9QD7at6
dt57a5hxUIwB1ujO0GTrc2eaN1VZJ5wcEj18BZDenKWeDM9aDO4Uv32bXAZRPrqqxrWesR4WGwdP
0ilv2gSe4JD0rIWKDx2zKbeyoHmZiUQemjrlPR96u78a04q22ghljq030mXeJ2gYmc2KbVsQEL1J
YoxrKy0gabLKzAQrMXuM/jXusZgjntB6sg2loV6mKGcJStd3Em40l92DZrnhYz/a0WefEYdhXaOy
clP25Sz8eC7gOSyxhvXcNQAQSLgSdq5bhjlHmLa3JnqT+0PfB08DmsyqNqNm19iL8wlx3ddyuoDJ
Su04kO5TPV24tgmJK2uCdsay0+7wQZOINN2lICIvrA2uNi6BcZ62zyr20o0VdqPPfZ92ipRP5TF0
zWDfhVl1LodQPbAbUH6GlrY2hTW+erWdZX7b6PX3EPcYDpsoMt/HvAQnMmyCtJxf6TT9HOKgQUjB
jt8GxiAWUtBMLgAu+9fKmE1YQHUSIlI072DmGtNG6xr9RVjcjZ6jutTy1Tya8sYcqDGfqcnGb9Rk
aIFhV8EnpJ7DoCPCK9LvVSjhx+DzoTbYWmzrthtprJCh1+wbbhd+xz3ggH+6uiu9WD0FHUYuqTJD
7dqEUyYB4KWnINIIqqDN7qF6uLh7igJfBzkqvNFphidI1na5M500/+4IDgkGuGiSFMgpn41FtwBn
DZufPbrNLVcgHey9bla4DtKyvdEr5QGNEDiFDJSpmxR/0b0ubJBngY0wzZqVGJ8dO3CU2iopxJoD
2vTqIie/w3/g2+F0LFlOfPE4GMZFVL55dt8+EN0xz2TXjJt8FO2ja8Lf2phVj4/JDO2J+ywLan+I
NW/HtnHc8+lRdDhFev9hdZMX78s59k626Syp0dJB+6Pd3UUBn0w24UnbaVjPjGifZbkVsp9wwhdg
e7Y/8VEB3EIIi01GaXadz5FNvHlu2x8FKIiLAu8CssFdjmBDhxCd5cRxOBxQE7DiTAgC15vaM/Il
a8catxmwEGLS3i4qrPyTi0TylijlXDJXT0xqo+piw2vGbnZwIW0MmCAWQ3wRBGtiN08tFv4TX1bL
j1k0+ENliqMwsSa6aMKrSPZqw1W1WCNnwCTAQBZYKwExBkvkPIWP4EC9j9Cr+Go3kZ1+H4nsn5tK
esbKid0xh+zfiO9mz75+1CMcFFpqYOtgbiQbXNHIN54ILgOfn9NkQ1s2lK9kLm4ILiaGP0C88+no
5sIC9OKgmpYYOBfJNy/TaUZxe/ktxmLxfcxqaiYrdwqX8u7ke2WUBWV+WXiPcp2+4I/XieiEzH8O
95CroaoIJOLTAW8Dj7aDuwMk1tiCeSl8+ErNyeBrsRlzRfBZ1/bKpZKmKO4xo0BRi3jet3QZY3O0
CGSse7zYpyksstzvxy7DFobLfiRFRU+pnc2Rz54h+rBNyLKLmXJTSyffYYKbw63Mi+gUskK6sUUQ
HSBPge+RQ3bP9aI+hyZPg5MRlY8DJC3WXuCUJ4S/B0NpR1IdTFS0rjgJV9vRs8L7upwf/yB//A1k
dUGY/rH9CySNjo6AaZYWQciSP7UUVlIqJ1tYTzXJRO79Du29Y2nDQpvMdCZTClHq14/4F285PYDU
ITq2p+ueYy/g4D9CVdFha/h23byDcJrcVmrurohRi/VcCOcY00e6g+YYrX/9oD/X0C1P0wTk6Hp4
6OFd/lR9Z8SinAMnHXeKVpwzg0h3gzmZ5jsdAFw1N/2WIdA+tErVn1+P/N9RiX8nxfH+/lKKu+mL
5O37n6S43//KPwDT9m98TBjICIO7wkbt+ldEwvzNRdbxiOKgJf0JMG0ixQk6xj2aDoX86qv+Z0TC
+01afMz5i3z0Fuzpf6LEofj99L2hfsuGUm14SI78byHG/vFTvBjwbDwxxa7vh3bfUJxByQHtEsvh
4AY3O0G2Wp8gglklDiA3WnElCA/N6CYkIwsB+Ea6T0CI5AccCYxslqNtHbRHxJJkPGlpEW04hYIF
lDI4WjmaWDjOb3Zvsa4HN9CDv7HH/KQBel8rz3Wg9LGFbrwYTYFrKMfDJ6O0PpDMfXOQ+TFtq3pn
5BmdyszA47auesdnwRgzJjqkuGQMfYgKluzIFFlA05/ma76Q+TuIGN1fSiW/TzH3Oh5PXVfepG0N
SyPgUeEdeTL0QfoNaSffmmjja7wg/UadSLYOZx41wJjBIowDxsegk29j9g2frbxVB60ozTUq6LCu
i/y2InaH9S7qjgnZfu4F7njda5Rul5FELW9bpmy8umN/E7FL2QMsK04l1FLYpq0cfbuAcRhBf3mc
mP/CZhzv48QMr9rIQnekqnyn5c4N2sXw2Hl6+FlncfMS28q6zVEWVxC+vJvYrU1/bL7Ya0F8PyS5
cfCM6SlxhvomkrG4N9NaHnpe61OXB/F5iNziSaGpojYA7x8JgK/5aPhNXSdvCpLPVQQZiD7pmKj7
qmSlcU8hVX7lVNFnYOFMmuMUjFtv1y+ghgKm5ql6t+fgB2ARd1473vgcGdU+jSStrka6AWAlbgc3
ZaMOy/JmyeO+WPZYncVUWSeToogD7a/ZB+LJwKay4ajDQp1oN2mBq2KuOHGgVcv3SvY1nocwP7Qj
N540atQx1yHxKYyde8iLuDGAgR1EoRmXenI+g+YkjBcz4ZF1Qvv3zL3lMZNwsGZKC+XKSPoKZu0U
EseGxjbD5M3zG5ZtKd0zc7vztHl6NKikYDmPJhxaZf0s2nm6yujUWYf6oJ8ng6qlkKnKJz+g1hRw
xYgKxJ4uuWJdysqnavd6FLArLqCvZZr9o8drc9XRN7GpjRrkV4fyBvpnPHTcBK+4KTwSYAFAgm1g
S8u3u22nxnnwOMajoOfZmx1p9OKSSsQTamsBszlTUdIwI9Q06mzngvq1ceohs0x6jTBQ6htrjhlm
4qm+5HY57Y26d3YZMQPcQ851MTa73CSsSTADaBCg9bVMXF929mpxFe7mEPZcXjOBBP7EKOoro/wu
o2nHuT6G3Ielour19JbRP2Z+ZvOfMutAY7C2Niv9nRHEBcWwuvuawlyBjaEXw62Ia3VnF9WrZeff
izncyLk9t4XzDtEWMg+lo/tKa6wtmmLAxWf5iXnjQoQRKgNZe6da684VMSNyBiUe6MgENA80gqkw
IaCusBOOMSzK8qqJ53HDZEVGuLe1u9Ku+ueoVEi+Ip13TWrrCCZIEuVUiBOKc3csW9Pa9F3lfHY0
6G3t0jYvTMJ8mXSHXQSHzXvTMXhVR4vsxOSNfkuK2y8llcx8jouNKyj7QL2sxucwD9yDSfiVljbC
4obulMfRIarMDrPdDWUyHdJSsmAUbcutfA7nXbCQ2d1wllvGhHZpn8JNE0zjOmx4t6eUEIwkOQDv
P+p2qVcDgQucclWBb9oZPX2OK8s2v1d0Ctf86XI6M4MJP8fehr2yDJ45188+60F8lJ4ajno9FkfM
J+4+yr3iO7vq7qQiQ/ddL9Xv+JLT8ctuJVhlqrZjilKV+Uj/jkO+acroqCrGHsnQilhik0pxN1Hs
mttkYKYfcTJ8jF7+CLe6huof77SM6BkvxB4xyllzw5AvQ6Hd9q2C48AzB64Ge6pYFA/JZty1kxdy
cTNKl5vg3Ou6bVlSaR40mUfozQBnbzYR7Tdez/e/Yy6CJB/vukLqNy19B6mOphWFHs3sARUBnnOG
mAMvxOTEn5qQM+eSMj3PvS/mAUdcyb0b2oPV3eMrIw3dqw/IzulelZRQBkt3QhHTVmhba2K943Z2
h8aPW5BbHdCYnUk33c6UXMGlYP8xYm/BoTIPn2hbt9HgPEIq7zzi1iaFUGk1vVQJl41VGOSJ3A9g
fwBjWlSmwN+CVtVg+mqX5UoA8Cvz5J1u47jlp/sZNNVgCF+7lKt+Fj9wgLwy4NuWJPXRGMN8w4yn
r+BIQ/Me2+jcaHpyHMvUOjiJXbMIMK1nmXvma2smNNiSzobNFO+LLqjuw0xrdlNNaN0XwwCKMY+K
6mWcnfBU21N37eRTdSqplvpkQcEKmfQOt8GJjU6aF9tWomw4c+vdtTY2dRwRG1vvX3pAM0ECQVIl
85XIw0vZUL0EsxCUKfIRDpA6LqkLTLiojoIE3WIkVWZ7ZvPj5yNAFyOCUWolJhnAZNcIwYhaJ2ZF
YzFecoBuBxzSmLjd6mygyrCcST6x5HlyaxdobAhHRnNvUsIASfWTsIT6AcUkoM0R06gKpHGSWGqK
3aDizl6XpereZm5Dn8lMnWGFGQEbYAQwfLJHyEMOzokHvDVs/+Hea2vsK7nhqywGnDjoNFZUrCO1
qSVz0C1GsxhzzhOXnoTGiWDctXXRrpQxqR1UDgYIl+hLj2nPnwSre4h04yF3pznf4ZoOojVB7ocK
GYP+Nvfa1STFcjiwnqYYp1NVckQJ9eozq8bxocodMLN4Sra9lXH3Ns3cu2Xx+jQ6w01Z0DxVFNEV
c+TW7nEGdGb/IrrmsZlzXM9Fat4K6ZXbwiumLbc971IEeRRvaGR1XhIK0VYlx4pQpu9JRJdGGVJH
RbIpdvaqozFKMTaH69nKgdKmZknQBBRThkZXJnB5hV7vS0wWk6bfpXr0zg3tiaXYRyut3eLLvMJn
SvefsDzfxua5kmTTuO9yCguijSxsZ53Y83ShM4wWNtZBa+jb9VUgo22GZAhkcXTgZ0ZWfxXqUP+c
qlbgFhGC1gnOswcuv+55msGir7qBZg6O8MQABadOK7rSyzQ+4afR1vGgzH1No8Utp7jpvkwyapYH
JW+ES9V5nnxYIQfYfLT6U88b7ddZf7Hh5Ry1CAhZK2UGiNpo1zrhxWNgxN2aqq9xb2qD7pOWeUsQ
7zDEZ9mZyZ1bNN2mhGTZQdQtXW/lHMlzqwJxw/G7PrJpMvYVEZxjHSSnXBvr1x6v1hOhY3dtDCwC
V+mkqZXDsvuuYQ6+9gIhyMyWb25GP6Ckcm2juPvANF16T8DqtXX3UrM6Bhwn17GBUWnK651NuRdg
eqE9yzh3X4qc5peY1PFjYTXr3F6W7XJiUZjx0n3iemIJEwv7lk6s0B/Rb5D+EGOPmLazfVezrusH
e2+qzuZFzcMzScXqxnG5SYVg482u6J+rqKvPuAeb1zIuF1pHvSjNdq1x4VlyXSrFFR/UzQIsDgh7
5AFUa0/DzZt6oEwtOnGGPnikCLK+1UPDXdMUEtyZTWWCVwLZyBlM3ZVGVjw3IWB/M6eeVpNyujM0
sK8DpYUfJXDmXR3bxQ8P0WU3qgpYeM0Jmg2NdTaERaJyBh7zhvGJJOwACWEl2BWeSn2K78NwIYxr
dh0/EfrmlpFBSDf6IASnpcPYMXP9SuD/BJUZmvjd2vYQzLnY604RfoOPQ4AHyW2Nfzb/sOreu8KW
LJ8mIUDZdcpe2WbfvnptHd6lSOP3pRqNo3JdMjqJiAdeeuQ6ZOJ4wzcGUnm73FyL6LZNgD82MuLA
1rZPfRRYyJ6junJIdvu2qgvI+lh4c106mzkIPlXB9pnNeGRvCwqAt9VITW462+6rGBtWV/QO36nZ
bjdjJ2D8t3BnISJLYJVSfmNkrTdzHnqfVRfQXsYAeIgmaKN2GMdXg4jivbQ6DuRWQY2L6encNSxv
S7IZjc2Ib1JNFRuM0PrGjT3BWlQgcpF2ujLm5jrXI2MF86RdDU6XH9057ZDaDO/QIZ6fpWrSHzzR
ehN4lXMimgPgKesIqahs+iGD+b3LgUFTLIqpT7khW99R4FIUQF+GkOtnVgQUJYVXQ5pychTexVig
ldhYBiphZfwca8m0VnP2CsF69glgA1HvWQbKGc4Vuzi/NFp1WoZ8XPXFJx6xHZwU71R23kTFcuSt
K3IvT3DRNLqqR3IUEd+5dTYg29s1JCcYLeJscQTza+AbjyEH+IBZbngKdUlfRK3fJ1MYbK1g66pg
J9I6PQY5RcnKXjuh4uIycSTX9a0WiukKS2i97UJCIOZEs63VfufjOWJfz5Mr/NQzO+gG72JHgkZB
Ft41szBZCujU8kqTD2oW5DhKE/saQ+zrHOlXIdfPTQYDYjkbxNR20iM1VBpwEeoP97CqsnVqxc3t
UGUxJsO23g8tBF9NJvmeO0VyFAOqcz3k7nU/A3pq2eL7hQwvg0NlB4+lh8d47AXwN3bVhK0TEAqi
DODLz57xbBgcnpaVcZ0Bp8GOGWLt0xBDU7mPYDy6LinLcFDnnEsh4qU2DvetTIrXPDD48piRCN6b
oJi1VRA5hCf1qB51n3rm27wR2t1oQezMD401EBjpItpmZ9548phpcZV0ifjGHbC5qrSMMTdq+MUT
iCYrUnfE2smVvfTmHDwZorc29cDcsqLjmPk0L8bpQJRU7Ei5dTtsljaemjE9Tp3dH+RUyjtztKxd
PxjNOyB79hr4YONXiDQdexa6UNqq4ss4cPHkpfFOQS1KmH6Du/cMxS7LtuA/l2235gdYL8zS6mno
4/weh6J1lTpGCWaqKGcgOc21yXt6CweOXwaT4lNoqM8qS4wNk1B8jPRBXE+C/4f5ki2taQ4w2+Wy
tkbvBzhli01uYUTm9AG4adLOZFCJGwNQ2DocLOC51dpi4MHHbBB055iOd/9KrzznntJpDReXoThw
l/mF2vcNfg9MUKHkijWE8d6ehpTIJTkZgJ4Po52+NZW6UHdCq7aKP+D0JAenbi75QN2FzpKgWpnj
c8vw4/IddkwxXQi3fitJDx0xAUe3/090z/+P4C+mLQQ4lv8z/OX5s+3+x+qzCN+yP8qa//h7v8ua
nv6bblsuVkLHwa1hmQiHir/3X//Tlb+5hofYKT0AMPyburN/Ogyd36jgcXQP1dEzHIdyvD+gXySr
McOlJw1VFBrEf6Jr/nUbgOvRQJ+XBiqqbf+kajqLpAcaxN01NJ1usWMzZOHnIaDA8b4rpsMfXp6/
WT6IRXb/8/YBlKQwLMfhFfF4In9WUROD0c5jS8CFuQ13oZEmnwv84XYQbI4QONQ6D2ZKEHr+FEux
acBigZzVP8HCzXw1GCZYu8Ad/s22QPzFZ+mBa3F119KlYbCr+MlnueBNLZgG7g60+reu4PcQCn3U
meWew97R8+aS+clstkGcjetousim14+/fnF4T//y2pDpMXSdEkPTkD/9Dqlb28FIVGdXxSPHd9ox
jqg05cOvH+Vv3nGLpwoqxvQo2vOW//7+RtwxXBr5/hch5gHSV+Iyh8i9TNWzS7HVXiHWrmrVqn/z
wv7Nc+JGyLOxHFRzPkh/fjQsa0IfE9fbeQXDFek13Ao9NfS/fk58KX9+5eimdD0cuWCMkMP+/ChG
kIpaycDZ4YHlaaQQbxEd74Y8fv/1A/3Ni+cJy4bFxPNBAv/pgaQ284ouH98A9XeVa8kPupmoaDCL
G5TSq/+LB4PRg8PZkkCjfnqwsbfK0mktZ4c1jg4bFwNWNMAuy2fausbE3v/64Yzlvfjpu+nhZjdN
iysC16mf3qtYuNaM44vDvWalBKtL76zoHLzLGK4PJciRdUWmdRuBmdsToF5G0zz4Dqq5WKlirO9g
fzc7s8iHtZnagVjphOx926QwW0qYDJ1R5dXajQqKr/qkAH6WA3aDGjIDmcFCiaOzm0HkY9HlgJbY
tw1On9/vUdDFws/y5vcn88uGSRtPFpZQtjjwtv76eVRYYxUjmbMLi8g4JKAVDtMgdd8Z5KM2Fdsq
CUjnN+EPx6RD3jJS4wHEkftvXuq/+7x6XLkxiTu6pEDkz5/XJsGPJYPM22VZD1vXolpItxEldejS
v35T//pILF25fxh4HegX/fk9jSpYdrDo3Z2DruuPvcu0WObfcJMZm18/krDNv347wNLrEM5MyzKd
3//7Hy4tdS5MzTFaZ2d54PTAP8QwH4zxBkDmeGfDgFkbdfcAyjLfJH3H2NC5OpoaSrZa1jxq77VV
tpvY9sHM6aV930PAfJND7e6VjaHbN+t+uvfazjp33VCeUlLtrN2ZcgE0MOFvM958+jYEhYC50x90
b0IJjywbdDvtH1rd1uuGHPbGlI1H7UK/FHvKsJTBTnWAisJcBJc+SuR1IQWV5m0EtSkcRmONjy++
JqKYvDGc5AeLipuNnoFsQCdDyRtq55DWnfMSs0u7VgZPfG4plNICwjioCfbR1Y3gIhiNvLSD2RJU
+aIbNn4LV2zFhqt6gA5WvRh9Ub25oe6uwqguMCZMNb7kknAOzjBMV16R7WO9S+41sD7Xrp67NDZQ
nLJOmxGIzKjM+qUah+BCPVbwBAUl3g2Yu99ttYAZA918TbXkucjIDGJtwsmbdBx5OVNSKB6R0Yr3
Jt6dfTEIBELQCsadEC46rxnZ7km3zPZ6HvC4hETDEOOadMfTwVQ1cJ4NMjzg7YwT8jiU8QgalpqG
swe+nKo1IBw9MYKAFWSPIW6X1Wr45MjEawIG+BwhlCI89oJ+qwACjTSNnp4Pq2VjVAxPLGMTGMaS
TNAqaHTviWPb1KE2e90j6SaLDRhlPOjkGi300jrXg51vyloPCM6HVDj69cytn+gs+5BVgnzer1OM
M0STvYaQIe+30Q68fLj/5RsGJEVQ3Ju5CA0i3lg4Jl6jyphODqvhV+rnWLS5ehpdE4JCwXEJROLq
6fWWQqOgHblyWlNDjwlgmyfVSuwjpkloY9D15L2WCc/BCSSfeG9I2vuMVQ8NcZGqNhFHnGPOKpcO
L+cHfJApIYTHfXutd2aQ7FyjSuZVkvbT2Ujz+oiRzS7XcQYjhF0BRGdQADtj5oDDWd/Iv9umBLsG
cg+Z1WrqQ+PlDjaotN8PgT5e7BkGxCqxQm9X0jHQ+OAj8rVbBFfY0+FGmSUZDsi9/L6RasC9Ri69
mD7ksgjXqxbPZ7z5234Q9ZGSqAbPS5Hfg1khChFP2xGvzIOhe+OGPhEcsfxue6WV4darIcFgzcl5
f8d8Hdojn4+MVgdvFWU9pmb2BU+D6Tonc6o/qSGqN3HfxJxP6/qbF3gQ5BGG6oMmaJa0NRxFhE0Q
J8UsAZKzhFjXWcqrDwcExHBBXRPUlkNUNLCMLfYiZhvnb6gbhMgKofYuyLyP1JxlQPxLqdsh0eno
4i2+Dxi490ms0cc7DdFOG7kLcxRt3lmud7dAqqa9p7R817Q9BiAjFFtXNyFzGQg1AwfEcRbWiak6
2YwOOZgGOxa5yWOIeEeDBvQ8P58Vg0IbQqtIgkdap8hsNyK81tLJODVN571BJTfRcmW3ocHFlPBf
8FUuXu89kMmSnVMXb0bJ5g4HFbpAyl7drjgcwxfHhFQNL66LvOiWOnB3KpRXqu/7fUMM9tKRKun9
ylLzGteztQqZq8kNapCoLVye6zHn4G3K+ao162gzJM58b9ROe6nmNP4+xlxxdTqZfG7z8Q7O1Ug+
pFSHxNCClypEqOjT2Xu0a4s212bS1sXk0DfnJS+97ZHJbPPR94qg9UMoyFl+Rw9WBkU4tw+qh1YV
YP4PGed3WU9gujRt9VmoAn9nWoGn5rumiReqScyLlbUXFURUM2GX9kelT75hTeKMpxR/HrbHbNtk
0E5kVqptaRGAagVrpITqydXcNMMdDWtFvIW40CKCEXpNCu3HyDI4V4584JA073oE0oU5/6RsirYE
HsWNgtN4sYoO/0JzNhMw7Y7QAHNzBUd0L95ESd8ZxZ2jCTAmBnq5qq1uXLXo7ERjrQ1bQAAIvTKv
atUHdwUkvo0ThJSGudbFKjHmea4GfcS0RzL/PRQWD9+AM4nSt6eZlu/a3SaK9sv/zd6Z7caNrF32
iXjAKRiMy845U0qlrFm+ISTL4kwGgzOfvlcWeqjf/+lTL9A3BRQMWHImGfENe6+NIGQM3ipJIAJS
/BlDAPspJK6kkaz9yiLZm72sfqYum364JFUfCvjLexwlEA45bO4gtmv8GJZ6xJQq3g0bTbOBomn4
NIKSuXoLbZaYm6Jn4UjoIPnTzMPyYRuwrlVsDhd5XzD0wCjN4fU6JKb9dC10i+tGKtNjTZgn4tAr
uE1du3zPbooCHrPTapT9ByC8muEOekfsP+0u842/ZovSbNoZc1ANg5TDh/mr3eyXjKBA11P5u2t7
zYmQTFa+/bKsWBVDji4IUU9TppaAyHiNR1grSzRd0DS8DG4KH0lZz16BI8jjkr8PwI/uWrJxCBJn
7AP0LAB1mOVtsV6k3zy6gf0oUwZztc6gORFwd+haxvzT3PqHsun7I9iyhFO+r1gACB6KgUHkngl9
AI4Sdm9kWnuFbaC4nbvSve+vk77KTiomojjfGl9sI6Ihb5ALXjdTqv7mQoIiDgP9sAT28BzjOKyg
MYrxt4Fl5TPcxH2TmetGc1E2NaNgywTD8ECYJaqZtP2uXZfNOPuPR89Rzc7Y8z12OAZoixBYXD3c
1QzIhxeGtvG3WHKzTfhuLg2Q7qMUTbSzKmUeFlHEu7aMvkCQ9ncIQaCdpMTUBVAgGGJlfX6YBhtF
XUb8ZB812RbwzI9mYd7Yeol73emy2I0EHrXYj6tTJngSwsm1d47Xw4lys2VXT2l+488pbM+uhN63
JkhkRBtFXrI7ucVNVMEa2FUdn4gKsmIfVco5+lhfgOMEN7nfv81mqs9TPd1NoDG+YI/2t4329OY6
uEW25N71Xt1uVdS2Hx6+BTL8oJKUYt7ntfVCsjIhrT2Oti2Y1upUs0DeJnoiDLkPyuepnbo7YmgB
l3MJHiYdn6q5NM++TkLImKG7adRgvppqXLi5KQqY4tW4p/t43GiXszmvgxipTxX/QF9b4ePTcGJL
18rRYBX1hkHGcD8l5lXPVQfntL9NXHiF5TwCa+LcJj5GgziZQLyRhoANedkTvUXOIGvcdtHy7C4o
ndw0TX9Q2AsW4Bj/5wVX56ryQlQeU/UCzYV1hKzArdi/qiA99KPTHQknIcghaV2YXJK0SAdtfMhU
9dClgthP4u57BWyvFnI3BzM7aa2t8KRqYqddj0WlVzxh9Ie80+ekdI5ig+1L7ynl820YE58ZJFm0
TwZFRDM/f2VK8atrRPQmS+b2GpWbPc4BgXHLodPNMxSNcNUO86mz+pcwc4f7hFk7H+276izu6MT6
Fab1i+vlZzR2jzHYAOAezgWEzu84/40me2ADhSzHTuMnhsRYQxtwg0LepsI5w05i5SZhN4HKvDU8
QWjNFdLy0YOfP8lsF5Pxyi1F2qAe9l7QlK+L98UortiFbuOsHayV66LB+t+L2eILbNOnvsbG0bUV
O9/wJWBDETTNR66jn1MtbhM0u74LnYv9KukQhWHXUSbPiasOooQEE2bv0LSOuvOLtWirOy/I+d1d
YnkDPRC6QHDKqrsyC1yrzza+YH6RNC6p1WOzG4PiIeOtuqKlPhk7HINx3ljQjIDGEunVDIgIsiQ6
oPkdLpWKxWXWsv3d4QRlaCaO5CaVJ9BRwW6IUFqUY/RJlCuNOe3+UwfNjdM4Io4who72K1kcvStb
f42yQuyMsovTnBeExEVjci2lgmbre+QaJUXYb9qpAjDl4OlTVXXG6IuWp5qoVTSz8evmcG/FtAiA
YnO6eosahn9w5pLIDH6CRGggCaSl833Tt+LEsORjGMQX3xuBrbnm51Auu7ajzq/At+H9dVmmRpz5
Oqag99QDRq+zl0Wv3VzdlUhAVtXE987K1Ca1ojDHJFk0l371bHcYncxADveU6bfMYZ1EvCz+/vpT
Wv5rULCPXgx39qxbvjSTv2h8xPdw18qXiWHoCjhgcTBEgh38xa23OkJAp5s2+0iHHrY0EBmOlDo7
yeoaXyAba9OUI7WtND8hTQ57Pwj4l9rZuAK6ehFwTVfkXxHu6BX9t5wT75LWE9Vd4BW7mVignQXq
fjPn9rmiZ9ll9D+nETTY2JMYL1xzbzoaDKHD5i3RFiyfJOr3jFgemz6uyUMnU3mI70LKw0vbWOTn
cXZsfRUF51q5pNqz3kr3qWOauwWSLtbpKd/ZAc1xWJlXvHu4TEPP3rmQNrZx1MGbG4PpybXALstK
U0sawmfiWtYAobPxJI0sNsHEV8pqRx8AS/V77lv7TjcJ6cpkk5/K5oBtMtsGFTF9Nnv8bUx6yzn3
QpirTh28hJP4HU2OS2RvNeyTwrNfMQl3B6gn1qPWg/kcebbvkZoE5znFAJJ50JA1fOL9BF0JCQm0
L4HddeszxtmQHilXdpOCCBmp5mG4OK18Rq6wtkDGeDsbCgrWEmZ868Jr2Wz3ie6PWBlBH9vF+9xQ
KsZMvH6hkKhY6TszsB1KoY4Wea8y4TGrzqiVMpso26YScJiD4KRNN7+ztoPxQRhvweu7s1unP0ao
b7ZjRkqTAUp4n9oCl6qf65OUybAhePvHX4zPoeQbRz2iDjBbHHCVkqSPbOxhm7bp2Z+MOWY2+Ag1
TjvFi04vRdYfi/4BR7OhrsQ8fFZjT4FbweIUuTMSfoMJQS+DIUTNDfZl0Ykbfs687XFZ7BfhoofK
x/AUhQoMdl8TtJFSzdOAPY6t64FhI9EzmDqkaN74hnmUmJGlODdTEr0W6fJFO24e1Niw20JhRx6Q
1SNAyM1wg0vuGTrJKz+2BRCswJGz92sTyuEWV+HaRIzcXAJ3Eag2JrlzbYvZUGVab1v2NrOg0nKY
OqbBOgaoBoyy1juR1FG8o+nzX/uYsBIeQf06ZFzT2KzAe1Wo6Yhxobeas6D6wayietbWqNZGJfoj
A5v1AILTvnebxtsmM60hOWepuc9d9dkUpXpgHseyzSIAGi7d1cC1kMyjJMYn1NN41IHcXr3J2wB2
+3GYCHDSTRRsG6su9xa+qbVuQxiu0klPc0Kk0kqYGjyMU4/rrFp+Iry0DzGi2bekBhJUZJlhwhF8
EqORURwoaJ8eFmCyO/Sl8KJ6nQ9zehsMdFqh8rIjj98PhTfUwY0VN1DYvOQ2Hqpsu9R1euMOA85P
K2eielNMPRQV8CnDjzmz/a8hGxv3ZJEjhFKLpPG1FyzyDd8F9mh/lJPYAshKv4mzNXLt6TnTt6B/
56elVBL4kI1NfMu2GJiXn5vibQxEvyVYjk5v6ZYnTPZkEg0Ft+Oc+6jYxGMW9JyZysDhjJpkR8jr
dQ05xVu7Cto14nTxHOXVTd4Nd2HpmFMhCa+p8X7xGGJAPVcGJBphu9DQfFRx4JpJPoEOVNQv/CDz
jBChfkM77l0A89+hhMt3WaXlrUiUsyNjGz5ZFnbVu661d+pE6aKuJ9d+gww5OjgiGp7HZl4e82ho
nlJUfSxclb0dLR9ebwWudAaXiKsP/s/B0WqCyCfTftMs0RJAA3Q4E/G0IZQCrI8xT5XDOpZX9Y+s
Gx+smJUh+ukj3Msxs/S5wZGd51wGK9n3cMeCpi12UJD0B2mlLlToUeZPkvPnri/D/repBHY/cLS4
Dfiow1vu7yTfgXF9iETL6ZU/BKEq93DYgWMzvwTJbuMyQybmx3DTmeQgx4iGgKU4KvBr5lQKcqkd
Ig5e9gg7Cx3IyuRo9eVAqnqa6XUf+Gvy5NqNNeVCr+B252dBkNUqb9oXEFFZgtoAkl5b6uAjoJU6
qIFcHWMgjY6K7Da5dP0DLWXE+19m+xId6JYdNL9Vl7yNM7efK/oJ51lu7xl9fC0t+e3VBGW4XsaX
fgYnghxuz6QW334YoUJ1q3aLK8ReVT0ahiKFI0qEQwHUOG+wb6YPAZKoLdl8p8i3J2vN0wIRkKkw
ytaoP8s2cz+nWqa44TNQitTgMzxAg3eBUajubgAt9nsJCK7m8LLDL2xzat/Prn5l/KF/VEQHPMRj
2L1hMsoufPL0xYzuds5g5IVabgQKG4e7krdvYw/u7y6JzUEtzgRxM16gg6gi+mQGS4XPvFzfVF7c
kSHHmYeUChu63BEjDhtsjBtNHAByhu4b17MzobiPFlQOI6iQfSnwN65aT6tn7tJerODvMs0SM6Ip
Gg7YJke0MxpuBpkTAMqAwS21LM+dyLPnPBiirZOEzW0bB+MmglfJFCm1fs5aXxWwSKuTmr+9H9sH
gZJrX2rHvjAWkfzVrWJ80TLRE5Kcrp2illVgRhu3uOicYxqh84pNz7SuTLUR2h8uUVFsIOQh0vQy
2KhVtNZGf/eLea66ST1X0wi9v43nTBL61ZYb6SxvyD9e0UMmK7/DR4iEeWO1xE+EukO8MqfpKa6Z
CbHQOcZFar20o5VuVMrskrE7uo4ENQba0E1ZJlcxMV1XE4vsENqKZnbwCRpoE+MdqWChGKSmBCtl
d9yKqxpmNxjieiTczoQANvx27GM0MeRmEfFhW3do2ed6Z2NmxcwoVfLoSU/cUPTVRzcL6i1Zq/ox
GOayRkoYOGDrS3iS+FIoRwEmuN1961U+4lvpBU92rJuDyWOaSAyLGida5JuT5bmoaGbUGrs8hNbV
xIw17VEGb/y7lh1BZO11USFqUK0DWVh0LAXBYTGcaGdpvC8sFBS9wBrRTanKcddMFvVziH0WHt01
j5s87cj7ht1Gvhg6OGjp7BC43piXvBKPJd8AZclbNlJXtokjH1h8ymPget6zLWJ42oGwkoyq2h8J
VCxa9T4gVLvmO5fVkXjIzubZhnTMtJ+hHVBH3q1sIFV3A7rC+Q12wHsmYhL6qJ3p71xWiAM71ZYX
YIkuKwbyGjC8Kj//aixhH6OJTEWbzchjWqJO3eQJQJ6QRcXPGTfjhVTR4rOQC0CADLw6wFf/rbc8
2DVtH5cfmQBioBHgEL04qisqx6JhWk8lFBZFxPejqkWo13XpOx8tGVuH0XQDfpkwCe5zEGEjOsY2
vrcWn9luguEpidIXu1Xdd1259QtLpOgVkW79bvHub62WTz7j4yQxgEryMFfp8hrNdfJWxS6v5pxG
3btrrOCDKbD/s2jnFivugoTAQ/jjt5Twi0e4U8UjQkqL73Ol1NkW+OX07S5YzC3mNusKdhVOqBB/
Dsky3oslyuTogdw+m3FU7xlhVmtbtiDu5jA9BYyZA/YYnd7p2kQfC0MWXoC6aN5DNOqnhVqbonop
8JlQAJKHVrYJPBvxxOVV/R6qvr4nmJnUApcqaCWEAUgCpBvRvfUzZdxDCisyCmY3NkgpJ4bSGV9R
PwxtKtAiZbP1al3esy4DFTPFzLtEWlCUVG6pH+d2NArlbYHKfMZvvvZBpZ3dbiyO/jiHxynCCZb6
MPwzijQ8IU7nNesMJtCywrdWPBEqYUPPyMv6zIER6o0P7+8eAaKp97TJE+5it6GLhpKVodhOiysN
BnfoLycz4w8G1uM9cPXmUZCu+Fs0PXwUu8pPSx8F38oX4TnqtL6NceZZaxcr+TeAmfo3eXtXESzg
pHeYOQA6jWkluANpgk2YXvPzIMn5mEsqLzjwqBKBwoL0qRWNQ7RiLSA5+dBkHyzT+S+xLMuvKjYv
jmIqWrVUJLi9ic+WRYzZzRNNfk+A6/xRtiqBycPstKeeAmEoGb0vh7ZjrCcAJJU72gA+5F4PFBhW
oBf7lAG8gxfcObjbzBSld/PUCdKi2bpyRsRVuPPipLshS9bITc68YjcuDY8OJBIgR27IZeOS966w
XQMYGxrwrCseCffO7iUDO+TS81oEMv7ojY5yLDXtm48NLduU18yGoTT1Q8IXFe7gpfrPaGvNvLXL
Rn5RGuEyVlduS/YXwqX4C+ei/0K7sDHGecXTnLX7yOHOROV45cFIVQU/+78oMZqS/yaOvPE56K43
mwInEy8WU3urctQplvOnMZiX2RyP04rWmveEGol/AcsEB8VvTWDodY49sceR7zEE9i8TjxEjy06s
k2BGKuI4t6JjhMldcEXheH9hccg5mdxVKgwLD48/eHK6YSCpZfadaqtjD05A78iamOAkZXTWOtmv
qPWLo4Q3466LuINSJImvxIQTNb/MLGduXZByq4HVzUy+hgVCGr3329KwdWCJQfNWmqjMD6bIva+s
6Oyb2fgVDe4yO/t5KKu9lw9QDbNuJiWbJRCPZHUc455FmWSZdh8oxpnsIHtukzZqfy2ZRkSrXcu8
ZjIpN+NANVEn+tsbkEoKhMWnDLXV/bh4FvE2Pt0amldznmdwkuxq6fHnfIdg11oBonb29DZ1sqFr
1t/wjjw0jUWW3iehuBTsffdu3MRPSVlisHNbCyJ1CT5ox94+2VWt/yEQgT9YQeb/srDEkL96dQE6
9VcvvOwZXkphHwjjUQx//eaN2Agi9eLauSt0bT3ElvtPQoz/LnlRto8Kiov76un1r/KJvykWktyW
WidNeO3pWZ7SMd/LgJi9otN4cNjN2pfBsbJnexi4Sv+zYML/d3IJJChsQVGsI7z5Q9+zuFaAfnsK
93MQdxcVaHMYTMsWwWZt740IbyN6MhbjQF2+xoUrxfR9udND7qx6vlkA6mIdhiXDTm2nEGJZMBFh
5u1Gynj2za5DIMPoMZYpAwkrBw32wQR+fRr9jFjMllBCd2BVIZgNeii1inUPKJdzhQqYu74AN9jn
7r6ccmuVog7aBBFnWW96nwpFPE09zYEYZ+ceM8CvjGCVtSWH7oBfApFXXWGroxlDKjWF3j98dO5/
lxFeyQUKga3nMh2Uf4jYSh4lPj6fah0NJX2Dfe/701wTYoSS2EGyNM5oM8hK4lYCCX+Ttv28U8WW
KuCqMRivINFYkUkJ2ipc9WWwzRRGZZt023U9WTeT3dPvFjkFsJdlB3TM8h+EOVch6R9qK6WwrCv/
alxHn3NVzv3t0Uu5S/SgjNrbRme0OGpYinW4TMnNYnUPDmkHm4HLeQ0cJDk5tt3/ZuPVHw14wgME
h41wAPKjpSeFvkK38Q/P5r/75XyiD11XKpSpf3y+8RUO76DGJjOdQRWryFjd2lFl/uHHOFf0w3+V
nKHZ81E88gpwtDt//BzNwthvI632rD8hc0OdAc0xmn4zTUXw6dLAc0bm5HQ5EVhf3DEPOFDaacNg
PL9Bs6Mu5F5DA+l5WbSA7IQzy8bdHC1kaKb2E8S69uU/fzTOn5JGzmvbEXifOINCZj9/yDSvJGIG
Ejx7Q+tyKCwuQFtJqgF5rTkJ5rQhLyq/1HZavxcL0zP2PzbOzCI5zSCINogZ5i+Rqen2r9/r/2Mn
nv4zAZZtqO0EV2Hp/1un/T9Yxn78Sj6Kf5vT+X/+gv8l2Jb/8lHhKniwriAMzUMrjA4DwbZyQEoo
//reOsBgJK/0/9Zrq38Bog2u0Wkc5750/xbVGfwrEFd1N3/dVROHtPiv0NT/K1hs//j/vwsYCaP9
r68MIhKlQFGgsHNR8cq/lMx/OzeauMQM7JI8aVLcNYcet+VFtlSqNJSI6lYTk7/swHhMM2zShoCe
lLlow6wUwSPwLYbwjmuOhKKL4OxAhuhXBEHx3xZpzPuSatXAtAAbuqXvjU+wStUOSCyWbab+0BVq
Icr0cMUWvLM5wZBTOyk0KGAuMbKbuGzDLbmlkj499ndOJ68HlB629jy6hl/FJ8qDHew2gs1M+cbg
DkyyS0rbeoGF80Oh40sPE9zMZe1SebiHZsqge+EF9qjBAWvce1ADmKJoXdISCSemiPf8H8TEMTrM
G4j2KycbNTpA9H6EFISl/Z2kdr1smdWobuP7lv/AxsQv9ioq47fGJxRkH4bR/MsLrO6eFjNitUXd
vQ4zDTHRw+7ykWTtdBShwO/J/Ct9h9QBBCTyw5K4Xdv+gRDDbEbEUXgjaYVo+302vxks+5XnjNFT
F7jzmwMijnUWZCfApnaNAC2Ufbb2Foz0K3/OSrHVrfTObumMUNIXC74DdBw27Oly56Vl7zy65grZ
RmHWxDv0LJ56HSBhHUnpap1toeyG1EvazwbaosNsksBMkMrHpm2FfQmvn0u+bRYPaHBWyCR8ahM8
qtTbBv1eoNEfko63befh+mElx75jot2hzmR11wGbUH5zCPOwnC/ONFVwH1hfOJdYhjiqsDUz4x7R
6XFUN0ye7emhS+3vbG7gbuU5Lt/WjY7svAfGFZFL6+8Ahe3beT3gwmLrLtniepDo58WH3ZA7M2IR
gboJbdKIa1X18nGAbjpqy4H/ZUXqZBVgLf0seoS4Hd+Rrfbqao9BGkkIhueDmbn4AkpxrAZzHKe4
2luFXe5Fq9w1q0uI4EtXncHaInHgsXlg6m4dg2kg58bz+ega6sLSZ26o6ivIsmEibvlIDLgQlyg8
U8a3ZzzCzor2qbnFNiz5Vv3kywdEuIf3Xr6mnajuBg/zFd4lpiiqJv5WJSwyhza+wBiXW1aA9YMk
EPYOy1O79nMBvA62EQS8xEYVVkyPSCyBEQBtO879yLRESnPSASbWVNXRRk7oSAih/CSh0Htsaiff
xVeKp2QIsQuiwt/61Ziv8AejnGMxmzpdf26KYGnweNnAcGfRPxWJvh+02Q+TveAQEwSFmSzpLhHh
QwAT5g5IV+ptMPJiW3dRvAD0mIcHZpV4xKT1WFX6d9/jTERrwJbWybdFBwWtyloGpR1vGRll0Ab5
kxXG8Yq2UWkOI+/JH3j+59LCIxx9ITTfO2j2mMAs9m+TUYJDZrnRgUS/MiIksBWjWpNP3xLOQg+3
bd2MFt+8BiFIMtqCbc1hI1GgNokjgRoLLs/KSzu5W+a6vc0SS64YOzKPdetpPUrJiGgWy5vF773L
smjZJoBa9x7e/nOY5FeOgzU+5qJ+DLoog35CjDk78QFirpHbEIbFNvem6odhi7VlTkGEU1Aud8g4
en8zlxOmOwJYGMRBQN5AP/PsNUvvGJpdQ4CTHbnzS5qR7EGgzHinFOKPgHCurUrEVT5hvnXjeRu7
D5vTFETeLiGZads5JPQCjC7v2RcFSHFb9zQVXv5Z66rasVq0+McDori/Bl/hm7TDA08CJyFgA8Yx
cxO+jsqNv3SOZf8f6vJA/FGYhzY2BbwDJFzb7rWx+qOqRfnWJFliJ8cQSW23iZyxDDZdWs+XFkvs
81h3PmdcjSJg9JoFnqAZqqeqseatSYgi6uNGZbdzPTrONu/oVyw3IEzOXL99RpsO19TIdFSvYWrA
DHZx8VE6h05yFCxOxsvkF8xP65yFQht4+cMs7YoA+lwFg7jR6RKeqaFzulVEfT5IgSsm2/O6ded2
7SezWPhLIgleczKn1kOVz1hQJfZnNpT87atIBuMZ1FF7HEc573vO95uFPIldAST0OsybDmKS6qTw
MYE/ZIzsFXXMax91LyqzGKaO13CzXoG5qVliQdxBrOtg/tzJiXurC9E51f6COGNUy3wIA8NicTU4
41DQd7tIEabQHg7ou0R5y4wh3KItB1XYYy8PpZxP7XWnUsQ1YRnGt62HPA+wVdWduJRz6zGOTuLH
ZpxRHhjWSanGmV0t2HOHzKkvpSrpJwEwXcDXiNfK0h7Y+LBZd2hhsH3AXojtudtqO+mYJIWPiQjR
OImfVTbfoFP6qDtnzyIdbyNgjzudfQ4Dy2HLCW9rJ3HWuGfMJsyy9iGxcaMnNR8c9ca66m3yHevR
tw4VgucPpxFXPi/JNL0ckAhVD+7Yw1WCqcBc3gvucfAfpI8khmuF6WcXkMUrNR7mFmP1cZE9ikS0
HAMTGnJssdhXb8xxgAu4+nMaE8hVxlcrsSjC43g2L41snMc0Fr9k7U8PdcKb5yGVvWs70bJuDhPA
tyES4eUYQkFGE0Z6TPVVzL5+IwicjNYwxzC0V/4AjWHRg8uhLMT0qpbJ6TcKleUHtvP8HQSgvzyK
yHLJudOymdcBScPvRMIkd6w7PBi7VfA5ZhHLF2z63jYWnvU5JHmL7joYRtqgTgBWslMEDpLkHxJ0
HtFBdL88FP0rttjlowtSJtnKGDyPgHaCjKkX0GYTc+6B6A/Ak/HRizKMH2y/889FxnnTNCP3fD/G
m8Cf0m2AVeOpya+Li9QLPqhq6X6JHkP/MtpNcUrHxgKUazkJAXrErjwAvxyZnYfaAwRuckbuhJF1
KIkpONoth51udvkEgTfmxNKrySx9w3pyju/KLlZ8nG7GtU9u6xbRYfNAvmX5ytXi/+7roD9QeiH9
nT3mCx6RdoCBM+DVE+Lugya+mdOPkeO0HQn6eQlElp/zOffuar8cHoivU2996zlPaelbO4j98cNi
5ZQ8nm2qR36N/MlZFr7dJuVqIgfARu04DqSS+AKpTdjK2yQnsxUBQSO2hI21W9e47zOq4VMi0Ykx
ds+z9wKWx9scjd+D7i177TjDcHDsaufiNOLEEpnY5/k8/TTebMh1nRAV4xgOy4/WToZHggH8t2iS
geYbZSqwilumqKuUgMnDEJbezyUn9IdLyXoPujR7SJ1Ifei2mZ4cJrS3GRYyWvSK0e21ChcHP7OH
YuvbBSsfh43hDldK8Iv9bnbQVt8xo59II9mKPid53KnTeFyTTTn/tENj3Y22Lr1VRZCsWrlVlIPq
zZqz38txYy/u8GWXBhCx3bXhK8M700EGwql/U7NfotNw7ZhmfJzhl2gYUkgpDGuOjsviPTSmfBQj
wJwxiry1z5wQ0njvW5vWR+W5FopKbDUOqj1x6LX9xp6HqdjUUVPOKzGN7s9Ogho4TP6YfM5ZDbSY
sOLhjCmC9Al4oHAMctkuNyE1NrlNRA/PE8fLDp4GE2im4rdRGvSnJCPHc09bv7x0oHT01umc9iDi
CWpHK5L7LqjCz3pyusfBoYWaro8kzROyaB4CrPNrljQoD0N04f7axFVwuwzaOaaeo+h/AIwi5eti
2KXo2xAssZJ66uzUuszZdHVm2Al7qWkprO+u94mybTEMYB9vbXG3qJT8Ia/whnOzVD08Ac/7hBg+
tzse+eb33MU5odhBlK+h3cdvFbm3apcnMj729BvfbooWMClJN9wyXYaP06RyQmw8kBxssrx5IYl5
udrL8V8Vlo3mjkt03Ko8nNkEgbvI2bctiBix2F+yMFIPfD7V3dg5VJ1Ba97LZnS2YeRV1cZQvDDK
TonRJZqMrCCsfFDeIisVWycepyMM4HHvlZwAcGSAOq0zWfM8ZnqqL76v00ufujGzQg8l6OjH3sFU
KVTrQhYDa5As79x1kqLY2FQYIV6KKkX4Kmr57FjO/EkfgyQwm1J2YxCUAkhHEbl3hoh4+NGdmu5n
M74xdnpkFdY8EbrYpNt+qmo4Dejr7od8Sg7D4ooPXDCSP5qL7o4Q4enYiDHf6slt3/rGa78nrFjl
xhrr8LG2p/Jx8bP4ZR4LbqJ8kMmxNEwQ0Y2H2C0qBnI7CmHrHCOzE8SyWNURnbW1dlIveTZD4J7Y
EXXmBBnRzvbENQ202iYcUWgk5iLDicjSpFkegrScVji/26MMhvCdydn0aCi3po0DROZIqxTEO2fy
imNFvWl2XTOXm6Xn6SRIcq7lpXEKElwZY9lrNhrz3m5G7wMxlDn2jV3foR8hslxJlhqo7kn7pFui
Akta08Yr1VjTvWVG4vkKMf6SaBa+Yl0giemzsDSbtB+uFSvnxAftLFFqtPBy7Yqg2YAjA/KDcF1S
FmXzSzwSL4nCygL2q5TO6KV1MmJ3AhKNUIsXm4y0YfE2FpAbcPt99+SLInM2fjTVlGY4SxE0WCAc
HMdvziEJAzjHAiI6w35607UX5ZfSKgOeYdLa9UqngJo3nOfeTdNNXXmvc0MVwASfxcTUsNWtQMhd
GbdURQScoOX0yC3kYcbuhaKzi38tZvFu2vDKWwybaZmoHiCMbMDnmZs2Q0oIJC+a59NYDFZ8DLE5
JNvIr+efWlG22X2GiLxRzW+M1eHRtlT1KkSevKhqILJycO1xP9pXXZvjd/sAzeSRnBlgGVbVf7N8
mOmIPZD267SsULM3LZrw2YnaHTwXa8+VdCUbIo8ZbJqx0pW0+fFV0F7GUvzyJZrKFesf8bQoB52g
SxMZq+Ak08HfzUXhbSssG4/DNNt3BdOZDbr0eoVSHlJYOmX1Qxuo6Fe9IGtn49U8FvY0c2e3bb/r
iVSlX+y89AHiB4suwkFefWUNd0XuT081evMjrWObUc3W9iWVY7hRlSZnrbDFaeCFfwJA52+NVcyH
WE7pek6n6rsOZXURrhFPPPZUwpl/ctLWO05O1L0RKOTflIGzEAAOCioRHtYL5JiE4xEL6ObNVb+J
TSswPxCwkZYYx/5tgvr/AKg1eLf55j4jD18QPZDYISE3m2hx8lvdV+l9SzwfYyoc1W3JEm90mTPA
ZY+/Qz95jiarOPhCb0tTeHtqu3Fd02duZ3yjt53u3pnVV/smb8e9ShRmCiSBmzCAaEPQ66viwDpX
iR6Pok1/OVJG12lFjiYJzXGHi2sUbn+6agsO7H2wPCCAJ8AjITXImYqfmTdW5wWAy0qh8+GXLNoD
/Lnu0GUZ2L8uJAPTRgQmU9/b1Bjray7Pvw1H/51L+rp5+ttYni7OR+BLDIqPSANP07XL+9uM0eL4
rUYOkiOwLIAk1bVKC+GW3emx8kfUxf+TvfPakRw7u+yrCHPPBu05JDD/TUQwvEtvbog0lfTe8+n/
xVQL3VXylwMMIEhqqaoyK5I85tt7rz3w5kohNWyRRrGOx1bu+tTACfRvvpFfI8V8J1JopjXPVvkP
41eNrCJmMsCbGnZEKjdRVzfvAUbU6QbV26kvtp1ps3UjlmRqp7S/7cac+x+BlUZzx473OzC7RxBQ
FnOyUa/8dYrOgxEssNLyTVgEflZmrVhPZaMnVwf09WnChP1sl1AeMc8wkEv7TnuXGUWlCORB+cT4
Q1kPTWPc6V2vfFSBx8G7pc1AqkZLN2zph89NSFSQJc48OWrIUMDu1Ce78nlQwmC4KXMBhoxJrOOO
k0oaJmiqFUYjg4OE4V/6nDagxq7oEpHpeFCGwTi1ic92mJFPMIbkWTdy9abR/b3sIZbr89BSzuPL
4nuS2Q0NK6QCkz1wGblat8X32NP/HoFK6BNfxfdgVDcR5iXEhutgxYR//El7oj+kLOEncMpfQNyF
795YLbRBn7Bs2CbDgwMIHaXx+3SvfZ/0ne9TP2gqbgAhdSwfFvYRl1uqfcFyyj1BA4i/9TBpYzYp
HZ3GgPk6wTRJvIHUIetLc9ZO8fQHH0fbrhioJwGUZrnxNBJxiBz8s8p8Z8F/wfXFnm8ypLCsk5hv
N/Z8z/GCoQlcpLP0jmTSHO/ruRHNdyN7viUFQQ+huEitjV5SGwWklMJDVhPlPfm+ZA3zfSuab17O
fAfT59vYqDDeLqEfjZQltFzXCifQpzth1fGLpSfFmyUntSXW2EDYSUTJh2RR1HVuJu6Xm94UzMIZ
pBfPlVeI7FPB+xy6pH/8LwSqvLz+69dE/x76//TCAoNBlYAZgj6h2d9ohz+9sG2GddEI2E5Czlqn
Qhn8Y97Dwa0rI95lqWrvSrtKewTl3CORmV+IjnnHYAAih3ekH/aiIcxMTlrxV0wASGNnadzfcuuB
um8yJ32u0q4APxsa5Z3Z06Ba6NQL+GPYu0IOF+wNlz7pa4PkpNYdNTttGgSFwfvIFOz2IizETgRl
fAN7ZWCkL6I9EJ27wggume5dHUoaj6T66HUFo6ap/h3vuHFW0+nExcxZCmy5VG1hnFdwDuGPWUHt
E9sgnBu0G8EBlb1D3XaFTK5CROrVyLXOdHMCv/eaFNS2dpHj+kNL2CQ3coKRXNvqM4tLebUxm6wJ
4TKtwgCp9HTKGE7nWkOCM6jEvrJstQorcCqK7JNQUTkfmFsOklZz1THiPE4YSVa5EXVL05qSlVMO
eMq0RHovAarCy2CNOH16enjXXoPnPkxL4mBULkg0i6hZR3L0t5k9Q6RM0VNcbFWCTnqSIp+ph81/
mbSqt+EmnIUr4oIjRnG9Sqk9aIlwQazybrzOCd5TzfQ2jfRDd251vR2YjDApCO3FEFrdPonwk+lq
qJ0ZLU48lRw6EzTIQ4zP7RVHYOHyxzVLTbGz2ziMyJLlFkEtFXbusvENe9H1DTMzlJwABGbLljZZ
3XqUZfPS6Vp4rxAtewSNkG09dVIR0buSpYmOupupbnwcj6ZxsFilltgLGxeO8AxYDORVBlr0kKk1
SnscODTHk0Mw96Gh0pOZNsI7jvGkboQMVN5raq6PRZrfOQ5l3R3R+YX43ommoDZvaFHDAU1DRMp4
B/l+ERlZY18zypcM2vIQkbRvPUlrhpai42+dSZ0lp4qp7rT0i1mJ8uoEVcoJxwiPf6a/EzBFtXLQ
r/RvJas2LGPd6r18hBWL0pXpioJtPey5fYas3iRPaMl98ZnuzSgFofnnCTaZ6s772Cd9iAOtLYMO
taGZ1bYo73rcRNXAv3MzMMQp7KmWJvYZkTK2tB2Q64ZzdUkjDQE94AqYJ6M42ka2oCJvZIBhrSqq
Dg5Ga3CeKL9nusM83o0t7RmyJbWmjX8fO+EzYR5eED1CGZIhYMyJCpiOzF+hgUPgu67XZFm1wxAg
EdUKbCCI8PXbv16ofvE82CCeOViwSAH3NzTD/EU6V5nMx4xE5Y70Cv2AlzKujkX3V8bLfyWEn8KP
Kq/zr+b/zr/tI8cCGHLF/xZa//in+zzlX7/+kp9+B9rs71949da8/fQP7nc/6Q1u/PH2R90mf/3T
kXXnX/mf/p9/+fGftJzOGrfUZxfGP9e4T+GUV2/pnzlkf/y235Vt4zfTkLqFTukYkh/O77K2/hsG
JNvg1cMhT4QawftvurbJ7xA2jgfVUC1NWsjsdY7u9z//R9d+I2oiLHRymx+lFOK/0bX/bgfDfIUl
2xBQC6F38Pf9+chJXc+UxVrawR6h+8uKs2LTWyV4hYjSxKp2dqHX8b7gkbT89ofuCe/kW0yq/vSR
/YOTLzSgX46+8/eBhi+xtAMeY3T28/dhOL6Sw1PsqH+sgbJSC20a8ZrGO0FYNziggJYwC9LwTHg5
YrHmxkwe/RRxBlmUlXHflhJbFfiXxyk8G2p2MKKhWIb4DLk+2ateyENBhJFBF/Rsq7kZW1jwHsQz
qxAqWs9DXyOAWL1Lu7MbpfV1iIdLH3t7nR4j9mp6NBmOplAioiJdRFZ834ZG5dbUipsyJofA9Htl
sS4WC9UHYzvwhVatDUuSZeq5rot7SJfr2Bu3kW9ce4ct2zRxAvPB1ighz4FALPTzSV0jIC7yQRy7
LNVIXvmUR5xyJV8LGhM6+0mJJ+ar0R3GxX3tD1vdkPsMvTiKESRkeTcM1gtZBPDrA40AptkuTHzG
uB9ze2sACnWI7VT2tBck/3KIp7b6qtTqA5NrNC15qqzqFrrERm9yl6nHqtf1ckEplc/MXF+ObexC
UH+nSfQzLPHdthPRjywWX7ozebva0pnNTEbKioj1YZDTgTPCSbHbGghokCx6nPLGKO5AfuOouq0z
uRQoC6vJ7O/Kwb/Sy8HckGnVPdSBRZKNboiMJfo95OyHFJzsQlVMZmJ3ZTZ8dSne5Vp9mWqowAUb
FTSXZ78P16NFKKs0rHVKwDz1CAxI54HHaxFb5C25I5j0bXDG7iBFd2cfdoZHdKsTxm2F+RWwT/ug
GYRVtc88pcNb7WAngyUy6bjNB3Ra1ADDrYDzxx7njqHh7tgsdbOhJ5BrguTRLAPxgESmknfJPvO5
sZYqtlVeR6TIVcVNo+ZDbWDUe6pHSok8tshcxtrc8IInnJv3Zvokq2q6RHEfP3VTeqhj88YbQHPY
4zw3En6/M3XIql18kJmzIgu5bYL4WbTeD/hCJzpFCHrVJtQOOBPhQi/UG3ZSDp39tCv86AkfbY84
nlPaG9BcII/dUAKF4b5uGRdzvKns4oTFj3q1gH3WHPMj9z44yVhaqS68NhR0un7UsNdCR2sYk6zC
zIq3dnDtfI2sHocBZ1dnRoZxuSBWRONHiN7le8NTMTVbyhffMTW64DRQCRWtOpWORgDDj+dWXsPF
QL2q7fAdKWWNMxvJf9kX2k0KKUfLzTXlno8MCLcd7XZVAzd8mgT1e5xylGTDoyFBvOrpzsixTHaa
2tJzJ855q+0DneoIfXoIO90iUy9fmPxKwDloDJOF5Y9DRgrBQq83uk68ZgKH02W965fBh+jMq+Yx
S4OofXFU0DIl8l7o+Lshdl6zuNyFrfWZx9ouKqebUQWEQtdZuqazbWtlan9Ee47WuRzslVZFt+ya
9XLy1ItvMAjNtGslaPeE413ZiHK+quzsIjzRzt1j/zRgtFXdGn7DXGVnXS1OnxRp4k7IintsRhuo
U5SOWYHGRLt4p3ZxheXtMWV2K/gfVmS/10ltxTSY5Yc8qB4kwGIva17aMS3QyttgWUj7cerHO9kj
Rw3OaZANnS/eAnf5PfO0y2SUL8BrXvVGZyrlHdWxfSnH+CkeqeBqCv4egjuCkrtVh8wpQ/12NJVb
x+bjSbXSZeC0Z/AeLlv6buCy5DC2ZBVtpd3veqRyXTc2E5ElI6bQq41gcWF5Rc9g0hroJ5r/ykVW
FsNSK+0feCcfB2tAuowB2vbjmlQ6yjRQGhcjCzknLdvak/Omt/CFy5pIsdOA7xDYFvRIedC58Q8M
913esDORwqeSBolRSiL2KaECNa1JrEpeDBwoMPdeOse7ZihzSm8f1a6Zs9vkXrg+bOoqPum5v5t8
80dJjn8B3yhZMUk7TnysVGeeOBeuMRmRRKBtYTFWabRU6GAk1Oyjhg6eS0XQgVdv1+C/cBFlrlWB
4WoM/NglgX0CmwmSxA8/8WNs6im5VbFh8jH7N3XSbkrJ80AkLUBLrISEMmvs8snc9zXOoWovKBOO
Aahtc6wJ3Cj2wnoB8/PgpbUbNiRRRpxqKJAAZuKFmnvrJvA2BemKIn+l4PtMBPWpq7TdkDirhh7x
vm62fVcwKs1WGpXXKI9ip4bDjHCi21HelV6/KhtzO4bnMm+eRqb1PXQVhyfdTrRnjnIXEDxbEEX+
QjqbsCHMYNXedlKCaTV01b3wmrcq5g4RmGCIRfVkOxUQIaarPdqYQ3AoaY+aPA7MrnEIwTPPqhtl
Mk7jwMpFl8vCoWIXcLq8WkPwoxgPPkGfXKqXYPhKu+msYrmOoHlVqvHVeDmSHNwHqqgPnN+W+DK+
Qj37DHzzYogGWkS1DWP/Hgudq7aBT6jYebajYRW1X41FPGxk6eSOCRDkbJUDL2H+zCvyWI7WXiav
lAe9UAzz6ivRCpDNsVXbC2UWS/ifLC9ecLJYtCatw8WSM1Iazq1DoUJB3amVvqa+kqxGxXx3JCV7
rb7Nh/HELTOlxNZYRo62TY2aYpn2rZ3a54BbdoJrg6JPJunZe2qMh0A5gWADzqAvbKKqIN2LU00E
mGYqulARf8I7Pd0bLApBvzJZltuJCEu6NJvWbYZ00xsnaKU7uKwX1Ql/dHaHZ4rSJRPig5kzRR8w
uSTlAi//KffnqhWHnj0zvqkyQWpC3LZkYQMcamHavASnLDnq9UNkxiujVNZFHeFTqLdaTwzG6MJH
GVJtpEy6mwX8taKrnFbZ3PcDnBBR8tPkyhyEiJAlH2ClH01A0VCYkh0tHCANkoMJMEVI8VgN1TsU
Hc9tTDNdJF3waJV0v1pU+oLuRCSgAO2mZ06/BHFvQ36ERiIIcW/yjp4eBY0oSpaIYPkiM60r7JsX
BJUPAHpPNV4QGjLShTSrRyK827yn7V5WrmWRR9W7jT9wmJnuO0TzloU3hh1lWOltWWT0rNabUbNc
2RFwgineW86yD4Yjk89FQNzc6b+SgM7D8KYpnX2fOlevCekL31OBsBKJXA63wxSs83odiOxSIoev
FL0akA0D9o/QVdT2tmUrWo3cVKN+MxFZlfqT36u3IbjcvrY3AFtInm2Yg2/b0LxOsb0uqvY4qOlN
p12penZxnFFm9qqo4OdKihLzFnNA9N73zVb0+jEsgDoo5bAfHKKR1Op8Odkj6LjFmPv7HvtXVOVb
z+EigesgbI6hBlwlse9FTy+32byFFt24qtOuoBMxbuD80CryKW4QFMfysaRNaSqVXasfgHAtw9lN
ZXIkpY5nX6biTkvvO4s6hpExeFvHpTObgigITdMHHyPcMuuicO/I9Ehiaj5a1tNeell8KmyRfijk
IdzMn/IdCnjFGbJymmcEx/yRsugOTjr9OkAvxq+sYXLhRKp9qmKj++z6nJR+DPvJsoAdkLX0MHK0
DFhsa3Ax5KofAuLDjW2k4qASfyUpEosU+nkRP+YY/N1EA27AeJlPUmmC15TT8DYJi3nwqVia2xR+
vocSqrdLrDlkgkG6ZqSDdzQx+FvcieoPvqT9QRJvekdwU7cAlZoNmU7tLheVsdYkCRY7GKu9mlFW
oyqyuuO+x/mYg9mw6KqsvinT2Li3+Y6XCuw2fqRBv1O1mkqczkTBVhC/ZOWzx03KsPJGzd75zI8R
tzpAqW1elKcspz+YvQbhGVl9pzhFfdIz6e2Tqq33Dm4h8sgKV6+hIggqmTKdGlNqy0wfT7mtd5xn
RjW6y+1GPqqVysScoCoITOGtfcp4LyZx65fBmJwzs6PygYsO749d++m7HYn2WUkMq8e6GUQXs2us
e8uJgluHUPlN3TvFWesZtndmNFyq3AkOo/nY4WZFwqs2ztQMtx6i3wMxT1q8snDUXyy8heuBxriV
ydTqpupke4YmLI8jG+YrGVi5TfPWPmg0jL9HFQ2qbdI3V0tr6guozGiXhmPBHRJ+ouMTnw4oT13j
mkUy5Vy/EAbsqbgDV2B4ukaxaQQvIPCLTTpfsPG2hVBofIy4cdKDPEISeTKQ15YDy9NrZCX6uRha
AzOJ1A74MfEqYSym/yG85sPrEBB9DXFSdU0yXhCd2UmLdKRMgCdz1ACBjilYSY26hnL6QNNl8NrX
rbUqvO7eU8SDnU0XUcYvIpyVNmCoOW1gU0smtMFcLoYDwAG673rhWtJaYlbwV6biYF9k/1Xlc6+U
OxJZKrNZ81MkbGZ69GZWsYt3aEkkdQ2MkgDoDH/hEyLGWNiOONu+qW4yr4JJkt/rmbkLVfucmO3K
1KZlENGQlLebLgZFUoEYbRyXQrbniTrnxeiHnChTcd+Z3YMH6r8Y8ZgxcaTdKz6Og7Lz7fFih363
K7SSDjhFT7bEKnFUTPpltPGL6LCf8ihznTJgqN3Xa1xOa5xdJKp0c91VUM9qRV8Vbt0+YaKjR7g+
OGDHQsde+0n2VWT1w78edhjfzat/yAa2KUACq1g2hYHgR/7ml6ELOhknJkv0W5E8cc0PD9PQDhca
XfSFgoVgr4qsPA+5P93MTfS3fSisey2qo0tF/06/qEUGYhIr6rv8flXAYJcPNOo6Z2t+k4L5nYrn
twsVoTxo32/c/O7lkx/fwX1lgJLzarbzO2rPb+s4v7fJ/AZDiuVlBnBS79skVva+x7s+zm+9Pb//
lZP7Ls0P5Sl1amfTtz0WKM+nLo4QzrjKtMq76gwiCcuxtmjzKjPN643vsfKoDUJlafbGvbRG1iWt
5nzuB0Fzp0Z5faeCp6RyT2CynqrmQjWwsXbmlU73LNa8efWjA3h6hyFif8zpxB/6vEpWYxPuAjAM
DtgjF1GLxbSd11UFY4mbfi+2LT202zG2g1dQJdaiUEfn1oxixw0MPYZ6GnBhYO7LACXoxaEc++DG
dHLtw3OUwU1LqFpFxCb/vQmQzaOyaN4Z6nmP8ObdIp/3jSh0xi913kuqeVdhnpM/avNOo3xvOvw0
850PxNVFQkk/7Hl3qud9ypNJsBuGnJJz9rBg3s0wzz+EHkadhT3V0ydDwgOWB4Bfpa7Vjz3AiWd7
bJtiMYaJ/jRakqFWSlPpS+8MPm+NgVhd+AygYp5NtxXwv6aUA5we0iWNcfos6ySjMJOuLL3Qg3PB
gBoDVLkmYKtshRI4OOIr6b2ZqdXm29xWJy432EzX5BkkXpTm+ysaIK2XMsWtxz6tyIyHKQuCZZ3n
CeVdkXizS10/pBGLxEb0sIQXaM6cFFK8pbRACTN+N9TipjMoP14Vqm6Va0onOZdwW1i2yDUMvFIB
QBYHGlTzYnAxFN0G3DZh2povVcYop1Vhh4SE5fCf1I8jyQQ2m8F1FO8+isr7pIFKovQwo/B6pLjs
ssa1ubD/4BLzpCCDnwxIyW5dmA+4WzkBKbpBdposQtdgEMHuldzavVCO9H2D3DPSGpZHHN5LtQkW
AuTGPhDiPtSie6yMwSEqnXgLcb9etqm69w2tcTNYMWg3Q8ehp0linL3iNST/s6Vj4IuqEgAr5URn
GhMzV9fGY8X5Y9Gn/HLShgH2re7ZarV8n5GMW2diMJeUjeqbckyqldY5YBQmc2MHOWnUrFcWRAsA
VHF7AMVbvaFh3XAupDdSDGgfWv9Q5MNjrqfZXa8UXMfsJNiYbUuvjE//7DGgLnWVxH6+acYRqUih
nsugA3Bt4xLFWdfV607nXctt5poefvKF4o8wRYb6tc86uRu1GMVjyl4tLeEEYRFtSGASbGjuIxWA
DMFjBXiqTAHRVtpsji+IF8xtQEu1YL7YwFybyw9TjhaFynX+apV0UvkGJyawUREwZHrWc6/hJzxy
awWGKZa1093z+6ydb1gJ265uEIK3BZ21jeXtdBA9s6YSnnJPfmpFnd7HujLxFLCgQNP45BbzFQEK
AYOrLQctJE2i+Nio4ZAuwUrqXGyCzxoSENwooMxgedIVpwLiKWP4Po76c5+8YP8/AVXnidCx2GTy
CvBBhySXfYl6uoUgKzgKt9lCSZoEkwD5T5dLh3+uKx1qf8TiqKlcPAjFslnlZoUHUlcfHN52bq/a
x5CrhmuV0YOswCJVLFyKYffcjAtMF74WHH1pHEbZ426FY7UYKjaJXOE4wED63HmW7mHpzsttCL19
F+hKsPV7f3qO7PmSCfB6PQ1xx++rJQb2qOmmVy+MU7I/ZrCULYFkBF39IpsImFcwGjtfEeoh6J1o
lzRmffFy2Vy72suueKyHd4/156CBLd4O84mqm89W5MPaszGft/rvk9d8BtOVRu7w+Ckr7/t0xopr
Ptjzka2aD28tn/j3xvtfKVT/WHv6Saz6z0Ss/4f6dL71KEMiqfxzGWv19lm9/eUt+/zL+c1/q/6y
fet+JOHfqVrff8pfVS1p0JWDRoVBSJr0hv1RsCP132jrMMnoSs43uCL+JGypvxmG5ZBtNizN+qk3
XP1NNXSB+0lFE/tWw37JZ/6rvOYcYP7jhAWzzFEFdkyHUhASVkSHf5aToqjRaYZLPLcnFhFFw0aY
wZoDB5hlc/Onz+kfaFcaGdOfvpZgauTA4+cLarwS4pev5VPDnBfMsWh9zNed7G5HsIt1LNdZbq0n
p3xJVWvZ9E+OsVbkdPHTiVyy8Yy3CKTscBiSAlaz/u8i3r9ovnwbfFcG3S+GxX/5Dur+2UvmFSEI
j7T03CIY3YbxdCIgSvW6XGs4oiZM71JJl6ISa5v2YTysq9FjZOJxU7GapakXf5WH/2kFCC7fv/+c
bN2wSd2zzTtkc3/+maRsLgq4NM8F4BNs8LHs/MwybwnIeZchINRQWAqEq6RraVQQ0z7MmZw0k8VI
I+7MOTn7qkBou/EaLUF4t72DaYY7LJBrbkxYubL+VQ4fCRjKDheMyLOTYPoUU7KKXXbMqM4GM+UI
xTVqJsHQ9FEYGH5Oq5ILVaZbJxWCKHbZdQEglbqCk4OHHxLEngZm6qNvJy9dAdxbmWVHRGGcpy6r
mfqYqfreF3hFyvxYC32LiRRJ8pl03U4JyuXUvSvZQbCOLjj77gvKhHVzGzuPXds9dS3Z9QrUwLIY
5M5sHr2+3dkj+RFq1A1aotOaXrzGv2GsG8ronNjWclKnpW2NEIu8vRU0FNt5+FrAXlv9Xdple6gb
66E2UFIpNm3TZl1GNuRqnMVMzlc6YxMFyaQ1q1NHjWJtfA2EDNjb8Zf1bpF3a6OETGY9gbrbY8Vb
SkhLWmItWoY9dDmuMU8uaUjdVnT3+knNx8OXcUyQjFRYVhZZYkwgirFtGwGir+9W0hqoLee4Ur4H
8qJn5TEjOxCGNhM3JtOqsy9M3szOdlUAwEp4F/f5VqnOZHXWuDvfushzTfO9HPLXuv4gukZQGj4e
RoYa0rUzAt3mAK91y9SWazzcUHTr9qw6VnHHjPkV9o9yIrgLILGNLwpH+Vt9Ipy19Hm09MZj2paa
+YdvlN7MX+ZDw3MVzSUMyY8an/CNPvn5mwOOmcMFgEDo+2JBGCTYgde5k1qrP4D56nYkr9sXaGf5
Aq6Lzx1hhveQ1fYf0yLOlglpwwUhXQKgAE9II3hk5+5spvBrTdRy1VQYqAFoEQHnuxDDG/SbZJtZ
KRPtoez8U9AV4RHDycWqanFTTZ28bfS0XP//TfI/9Hrw+M9G2H++Sc5bY8Ie+cu2+Pvv+93sYf2m
42sV0sQ6onPTx2zzu9/DYO/TBS1PBs8evtQ/bYviN6IJtHZTkcT+Z5jkN//m97B+09jMHIA1hrD4
I+V/4/fQ53K7P+9WXGlomrJ5d3UHfUbqfBN/3hcmu0a/wmK7A+dLQly++TIEtwKh7xzQlXkME8ZF
mZI+5EWMoyFulU2JrP02mJY8RXatcUy0N5ElsgVe6yv2KQiCmf3gm6mzSipHEh8MJafgGHhSbHY3
HUavRa8b5PSLNrmrg1hBwKgqxGITgaRe6rU4jTUrgm1h1pTR3Hjs3bQQBCH6cRuLvYpkivcA+9Ze
E+eAiJVaRzQO8SZDDRQa5+E6J/Ef2850StKJXaNvmP4nYEIoe9kSrezXfd0VrEL2Gm4+Z2Quiga4
aE4HgyZXUG0VTN39TRmYW36Cn+yTi75Ij2T/3bHWb4H4HPKq8JdEX5dtrn9ZWjhQouzNYlJsTxs9
qO5CPttLHqacAial2OD3ehiYpgulP7YWHya0TuMYjfyVQyM+02SxKRXibwzMT4bVIpKp4GzDofko
9HE6e481a86iLhNnHZTt3tSCBINsQ9huXBEvdBOyzmVqlkvNzr4acya5iwjmv7YabLHIxui+ZBYe
FCnkQ4mq2xXcorl/r5Qp2ipje6PoVod6Ug8PbThZO0OmboFmugrjnJgGcv0gS59hqB/cZWl1Gxjd
u2fN1z1QW+thGCnegel3sXDYL5CfCH96pP9HBK+N3VALT9eJtcMYMt4baX5rxDP0XDOY+0VpMN6p
iTdxYambYtMokX8ZxIkg7IOhRg3NEyK79hU8OLhfJwqyLwG6G6naJz8ZcVAWuCNbTnJRXx3Boe0U
Sk3VyX/qfVooiFKOdI3xo6rPVQXaM7vDWF1QJuUYW0sWgEzTkRIFzTWHbql2OEBLStGX3jBxBtHL
M5Xox9jCrTrKbGHb9jovx9lpgnL6qBOwoxMhVVaDmL92tCshdFWQoB7gdodL9m4LhMBCr9e4cpDb
7F7blGSpqbZ6M8lpHSbN+cIDejIAp5lqik5RXo3G5vIXrYjz3VZToL10BL1USOn0IIFxvHNEts48
gL4LfWQua6SVciGmZl2JiAFtcAjwU0RgfRRm2R4aDOLNsh4tcU1Ko9gbXk3HiVnZ7ChlsHTazD8o
Gu5vxnUteHsveYoADeHqbuuQZgTg4UEEUXVEFrivJXZ0HtUaN4U6vmDfzQEi9vk1EICbpMyS13j0
JAmtcIJXHMdL/LriEIjcORQE69jb+n7daNosNUzDiSl4ej814XBvF2m7p/YnfUg5AK3LjpzAoiqc
6q3xOrkqtaA7E5KyTtRZFkdOB/0NIrlxtrSp3Tdqpb1oUdK60ifPPHDWPQBXiHdV4FiXqcqDH4Y5
sHPW6Vh9FimtUES/+dQxMYenqHD6I0VwzSHxbI0hfdepV9se1Nve6MqzxuD+mMZ58DDyw8KaQvyE
R0UeDaVXj5wVGphx2D85XBU0aiZ6cuZ+QGMyoL6bKAnU7N8c5mlu/GnVpjHPoeTKQDISNtY/7hk/
r9pxjHnHqCeiT76fnAuzyrtdVHf1uZxTga2nDqtC6/sFULd2pYETW/VEWHFTE59B0X0QXa2sE2PE
1Cqjee4C/X1lEU5YM5GsMU+EPjHp1ht45nzrKjI1OjRqepaeoAKidKZrIbQMoKKdnEafbAVP0oNF
XIwMm2Nta7zXy06rgeSO1n1VMbpv2z69iNa3o1UPMve+6Oln2ziAEKZlLacyWwUZf/BCp+GA4D0Z
0002AdRf1jgOh42a+gEoWzJeLwSeqTjjBJS71qRlM67OfqnJYdR0B62B0922UtlkYQMREi9ZkY1A
aBqZrUKVbhhO40fF8HElpBpm3ta4LYbmGBTVnVdJe1nkcGC7wQJqEg4wXLzQjTVMJIaCW1n20bjU
AuxXk9kdvCo/ypDXPwxH7AZE1Odaw2XUgltMLWC0ZS/8j6CzeqLVPbBnMogLhoHWOcfXzBqjJWtJ
c/RtMQnIgJBTz+3UyxmHw6M0SZ6qSRXqEYgOYlQb1bRqKM6ptVTaESiNP9LhU55jrr63uSbUK1ho
BCYn7JoDP+vhSCgxPPUqKSiSRTzvdh/Un9LH2LngWh/8SJM8Ww6VN1DOxJsyzu+MPb89+vwetfMb
ldQ2SV1vMM4xcdWbogxLOjwy9ueg7kghsVVmoqrfCD7icuPQT0R2foOd+V1W57fak3F2381vOown
f4ebpV+X8zoQzivCODFfL0z6ALoym5+D0r7DGpS8YvrqdtO8rkzzCmPOa401rzrNvP5M80oUzmuS
Q83ELmZ0esx8wZI1NFX6hJ2x3UVx6uyKpvcPAMADxrfCfosS6uMKTylQVGJ5DVKHhdHhVx84gIgP
Ie1gQ6Fng3ckFFd+tXJpS18sNXRmCtSEVHE8jrMpyKtsjJqTwwklZuJQr20nJmOpWzLqCUjQH7vC
niTSpeYb1bhNzSDtzpmM6JG2SgsytHTqaaU7CKiYHhygJtlU+8WT7siKe5kVFw2keiNutrlP/99R
59owLHLacatF29hdi/kio56kKmkGwicH5XdhB8Hor5xxKNFkJoreiYBazBYqU6RzZ2iUb+yyMS6G
0ukn2x+sG6oNgLQ7Ru1Wkand1vSUxGCQvFTdlCJIElepNAILXpQ7mKsK793oRMnd0CFqs6jkFChu
myacgDpCo8lSsmw+T0kSGtSOZxprywiXl0dMK7VjZTT6bYyLHgNEeSO9EdJUFP0ve2fW3DaSbeu/
0nEe7hscQGKOE+dGHM6SKIkaLfsFQUsy5ikxJIBffz/IVpXlrqqublXc6If2myUbJEEyM/fea30L
JU0Di7MVxa6xPR0XRnvX9nsHeRmRF/q56/nVOXhZncJMC3ArArpMJco+9LW4OwJsRpUfQp0uSfJD
Ha0WhKR/rlJfbcZEPRoF5FqPGG7PHwW85lpdlC3fUVzUX2L3CxI8/3QUxHQ57ki6ZMs2YJaA4xNX
37pRydTHuE6Y3K+GzEPtpwKy3lySEHK8VV1tuWetQ6AeHp58Gccm6Q3aNUZ/9rzYMPca+/9an6rH
rCm1+T1CEzFW5kJG6sB2fjcZVfzVxkZ/0nQMiFRWTmc4/uhPgGe5h1M5rhKjHr/SB+UzSKRIZaK/
bHWQ9n7shv9phv5ZTf9cr6E///067/w5BFp3HI+/UejxH78XeuKDa1OrOVDpqOisecr7rdDz/A90
uRzH4RBFUNrLb16F/Q6p5Dw6JDbPwXLn07b7tdDTBWJ/CkG2eMP1/7lCz/ypLemxVczNP913PIuL
/Rx220F1hpvmOnMahBXuRJ3ib/LowcuF4cfR05BmGcJj7IYndOy6G8sYPQKllEFcGOgc865OqBKL
1nFYTJwUPEAeaypY2qolJjvXIvPOb1zzPFBKxw6u4csyCaUzl+7gM3i3LCvxd8wCvXSrj15d7XWt
xE/aoJiz7TAiDCvAItPYpCBBzs7aJepi7RYQXX3mdW73UFmEVhdkWK8NPUuXdeFd65OMGaDpF+NY
wjVOq7pYpE0vH4FDVlgMzQbbGC823OsJ+HDOJsZEMgXptitlcSbBTeJtrSnLd24nEdqJWOwC2xtW
oT2ZyBZH0HAW416CKAYwa9noXKnI9G+90ve2ykgVeqLMXyZj3i9MFCh4i/OKUhKSvSBCWPS0Te/7
0lMdqhOiOFGfltcGexadrorwxnVJ61vfC1YgNFOF6q/qPoOiEAJxDfd13KLdImQdBeigMtRPfoEo
ftUYwcxw0UyQqegsWjpwxogNKeth/FxNBjyqSxky8LoyYA8hU9LrQO7ShOwQqj/PmE46vcX5F/TK
x7qcBEa/7jpcuBuzj7KHPhO1feXlEmWvMVHuAEMQFozTTpDtZ05N320Cp+m3bqtHT3pZhfBbKxil
heyMeztQaDRDPQwRVjRffYR6nabqgyg8sS/lWM0RbNpOowf7gGV8YEAZHNRApBE7SwuzY8gphaRa
5WMdX3Hy4kSqZzmptAFoz9rGud9YRfNk5r27KxldkaCETM1YZaVOBiGxm7fsweCGRnRH4yqPW+8m
M7RxrwIKErA6KNObNrtpU86+9OWwdzOk3qahWZ7qLgF/WkOMmh57pxzjZmewMd0GUC82fV3ap5ga
zUWUaFuwHkicvY60iKa5Ga0EKytdu0stNIKNSlWY4yyj3ICDNSKdKyM3Z8rJz7elprI9fR0wvgk9
kDHP8r2sQRzPtvv4lk9rd8Z4D1KHLkp2+NGPk5MxTBUA4qBb0YBgdliFpDr2Kr0koKP/1PLeBnPC
LEpO4Bno7EY1DCT/agqHppyt+jkS6TjOr+qx3CJUzNa1j2Yec2P8ZAtNraXnVjd5FzZse13CfU/G
rZMARXL9FpKVNnXnVTs+l12H26UaRc68NGh3pBgnG0e6WvqAZdO5USUTX07Iqfu5GuG5rPXcsU5m
SAP9gaFbxYAB144murXd191GryWpkr6r0D7bWDsNLD7ZgJzIQji9y3ztVMd8yAqTk5Nr691DoDco
f5swO4Q+CZRNlRSnyG59VI816gTVB+036/t/ZoS3/wDnykwGLZTOLvL7+yKe7WPbxg0DwujN1vjr
f/62N3r41+ZJnu15Jkc2/dcmqKd/wAjn0x+l1aTPI8AfTW8GcGx9HtrpM3+A5/J9bzTcD2xgjA0d
C5wPfjnzn2mCuv7bcppxJbAMS7DVesJnM/55FKUHCenRCbGZrlWSoIkLTsLJTIS5HH04oQuzgqmx
lqnBktuHAX1E150F0tYgBm12PltLRSt3X7ApIJQFAQgZHBgl7rbsJo2VdmvP84FwKPuDkxfRmcxd
PdxIG7MEvB9/7ZosjE3RRE+96U00ZUhniFYtNn88+3DVprDAUBtkhXcWGoUFX0g43hKi6XjlDGUO
xnO6CTtzBGGyy/K88xaix7zfxVKeRR770eBxdtmgB+Z0GgwhUEg3G0EDFULVF3ABG55xNuk3AUER
DyYBUTelwHPu6CL5UntjeD5mNTClUeunL2Hp20gPLRenTyePSii59I30xE4EhBlpogMsEwPUKAjX
4jA0DVO8KU3WBWEARFAMZyFmp7VBbg2NT8kuo2fh0upiCrvSMb7MGDGIhGWHKLL14nSPeyr9ohww
bgx5Mv8pJKzwTrB8znIYfMogujRhrEJBZG/LDrH2zdRa6GYMCzoJxWnCG4DRBHAZ215/BtX2foxp
n61cMUBAnEhLBORf6OVyGuoCVsWUmiuTc9t55yjSBQsrfyY3Xve3mFkqDdRRTwgsqfYYO/w5bsZu
mNQggxPch74NyT8tQuiPmgn5VSB4RguifITSRfUpIguAyOkuG1GHDHFZU4sTjABgMHpgK8AlZOoi
2pkNj2OMZtGvUqk8f5mS9Q6tziZwjH1A+th2fJzGNJe6p0oWKtqYohzQcmv+1u1cWh4idEbkXB3k
Qtf05kBTPtZ3rWWKA85yax84XXMbkWl0DHUzStCqFLV/1iIdYRTsDdVjjbj4U+NHpbFCBEsPxE9k
9dnoINEuJgKY022SFPLG4HgL9t3QgtVUKX+fsCUe8qiGYOEVEQY/f/DkFceR4b4h1F4uKC+1564C
R7Wi2SYfLDclJb12KE8HUl7RIvrqtikK0t7CNqfOli0qkx0t+EjjZBgVZwhP0NNlgqRxzp5oBpW6
9x1VXdttOZ2YVH18b9MaN1GkgQOoHGpFnanKCk32UC8DXaRfQr5c838NKNstmWX1To+bRK6t3vFO
epv6P9MY7i3Qiw76x7Ae9Yd59ydJgxHx3KPhDfTAATCWHT3i582aELZGl8pY0MUIcZ5GcBoD5znI
xPRJhWRDo+ynD2M+lr3PpFlPE/nFdgcwqJjmhk9DnxSruiNJDNaYusWLTvabZwa71LbEaZFnqsBz
2/JrN2b/BqT4cWpcK4IMBNFHeGomcbVYR/QJDRXTEIiOAPKgwph46Qcv2I1jhG5ynNYl7e9lD49l
AfkBZU0ti8Uk3ODeFwxci5bGI/ldvrPUjK6B+dfKql5ypqlX0VRYJDRNsW4sczXk5VoEKZk4gpbc
c9JV0d1E5uOZnhJRuKbZgCFPs4R60PiiGJuaqQ/hvHXdfcpNMtz5irQaNsx44qs95XZ9gKmdjxsc
X2WyyKcK0haytEXr2iwsnFG7C0LOCVAfiSE8afOmeWh0uD709J7SvE8ggUjW6T7L6Dj7xEqvgWhA
e0N0cae3IjmfPDEhboiG/qMVhHJvBlH0yaAFSmVh5+RtCg34mT9QyENVzklzqKHMP8IIzHZhjkmz
ji14xkVfnrKV0CwJYVE9WRrBKqiQ0Vhz85Q6jzvSLZe+HY42p3VIm0ut6bxoaRHZ7CGDqx131/lZ
5OEbCw1zlep+8zxaDTNoNbjksJH7Flp9vpO5rE8DJy4oqODGLiCFTvEqV1nabgWg8Ag3DMd0K3Za
vABTQesWOzGZXEbm2IzEO7DGvHrdalZ8NOuvA/k+9OXQohkNPCnkpAOLE/EMN4XG162Z4hgbj6rr
T7ELO5TeiuddtZUU9xynIXshFRd7PSrFHaSv+sEtE+/US7KQQ7HbAm31yGK5rFqvuHToZN3VI90/
lg2Hj4+LYcbcjBXpRKsm7s9Ht8XhaA1WeE+Np+O/Rdn2Va91wzvjGUbmyulRv6PwG71PLbxVxuiZ
aM753tr5LrAEIgKpbOeWtUnu+9xPLlRQig2CE3c1BAINx6BJVIqZFmvRkqgZY6PVZczALXA/jgnZ
PFk55Jdp4utLSh5cgaqMDwREFITGG8YhYUWi8xfV912op3eVT7g1IRafKt01b1sEzYc0o2nUpYm5
q+1cvwXppj2LpMQAJ0LRrWDjmSeJniDgBaEX3BIL5x7cMr4tS107BOVIFiHawHqBkyE9EK1jLEPS
LrulQpyCYMVH8r6O9YJg+5bbRgSFm8yKnIzBBJ+EzKyOeD0Dhh0dIaS9m9Irn0qFf9N3T4CFgNbL
1PSYRQj/NBLkJYRXMlVKJ2v2eYURDll/TJoUQMEqnLZD5w/bIKa76Tp5fAy60VpRuqbXHqbArVbj
J8NzUWxqjI8OXj+hrYl/8FZjF2HrFSBv5blLNN3njBBpsIuGGBBwZCldblBEMw63YnFpiJo9QUTT
3tYEzOwKTUboanS5bhvyjHM3ZNybloyE9cYytxYL0BJ5an9rs7VcYec1w2Wj8OHjM/Ocdamr5jgB
Nzz3GjMgtKtpCEAqg+gi1Htxo1tddTDw0UGnCWmi62EPqNWOxnqZWbNsuzHFNvEG7wICVNieFehH
QOTpUXbuJG52hGsa4IlN0+vWZUona9Km2JU5SixJ7sH0bdRzv84YpVYt4SEU2SEeLKL1bIZj7N+E
PKOKaWMs0bDpPorJpl2ZjtUhreDxLCz63ZDxG8M8Oj2HZrx8YXTvWE0kN8r3Su1isCWsgzCZVo0N
rnNrUkdi7Y+7UZ34gduUu3ZMnI+9xjcS30B/7YZ1vSWZy7hUIhIgg+2GqMNOY3lwCjfcOiTPfoJV
V15J5rI++qUuPgVGWJ85EcGYiwnPyt4dTXTH1OMg4pl7XHGAVeCoSLl8iIyWqVym+nZYgCswbwnc
qD8i6K4OfgOshSHodOF1Dj4/ti1rWNk1/PCFlDGQ6TF3n0rLooJsIzFeaD3J735V6Fs5+UxepWq1
tdu4zuNEHpSx8qQ1Hlvk3eOSJpG2tsaq/5IIGDobWtYdZXbk7xJGJld9il/226ukKUv6K5Is4HDu
rYnub6EmZX/ky4k6vI6L6uCpfAaE5Xd2ml3js4Pnk4XN3s8jNEukAfIBtHoGSLkN9QcAVbsq0BC7
5IA6/sfKQOu7CCoV0uW1BJ7TGelxnzhBvfeNsrz2y9K5RqZenVO8ZMQ9jtmD5gVEDTuQah6xO5P3
m2q2XA6Oa18wmicmj8nV8NmLR308LQezH5GDGQSMRYUwkAyF4bjDqGc/BlmIbLrQkTwUCGWzRVjB
W14I6fkXBMFPO4Od61kzGuc5DAPZrfskZQzQTbonV07Oe72wezMWW1H68R2IV7EhnCB5mDRtutb9
HLE95DafvS3q7w2YRNe0xbMLoInTYYrN9tl82XxlkDQLbjxsbhUG1yTsNuR7es25C3bzVsLtNeow
dBbMPJxjBCMVKrDlRUg3At/1l8LBaAz107yE1wzOVoV4FKJ4BPLVZLONSi+sNAUukMxoHOTVy6Yu
Id5nnbAf9NCoUZTULbFaeixx3et69WhpNV7kUiLq7mR5Feeq/oiHBZ12zYAlg2hyj++fkQO5huGJ
33dNuzEU2K1lDlQPB5s1aScpWYg74SLBTKUJ3dEeZ/8XRXKGgrrt9nFk5tU2dbzWW6QGeBBKAtiB
UoldNeh1uoBNT3PSjjiHjn3Pa+qKqlqZFf6YZRLYk8HUAiF+4ZTNaZ4nqMZ6NCHZSgRGeYDgPO06
RrKcbnAhb229IT3TLiCVI7sX12jerZ0ynOKLV07557nKbnkEM89WnWVqNzqBUAfMvPJjOiBPSA0z
56jKhr+0zWBaVgxj+U1PxrrSRHnW6GO1L/2QwGhmKmWwLLMyOeZlJqOdaOPwElYBL4HQH4DoKSzM
q87Pv8rWdEy+LtiBZZYcNEn2yQKTRbmUk22fhdFgwE4dNR0BPtzaQZBhbnmTsFC7dU6KH6LnQIK3
FlZJbBPB6UyWNSIgcapd00I+6+0iJkA2i2gCZSLO7Z1sG94ajvEEA4M3t5U8bdmRjjHta2dZxEET
kGMvyKArIP9b89A96JmgtcNmUm0yN4SdaAbvgnFe6KmzHjQrOmuECQEeW95T7hkOevchb+djZF6t
3S6SxJE7aXzip5zLhjAtz0OJCRhzQ+DjU3L1u9yeawoa6tkqQbLHRNAz5KXVMfbJnTbYoakqdj0c
5JOiG6OaKIh8uIfQIcjcJbL0RCM75TMp6jF6UGciAJFMD3FiwvgIP7rdgJWndxU93f9o+f6Ulu97
PwqF8e83s+5aYALHNPpZz/fr//3eyzI+6Jbw0GAIRjpzy+p1zuO6H2yXpCAk8G9jiUzjg4W0DoWd
ZSIJd+bZy+uUx/vAL4CSfpsMzWFG/4zM3f25k2WYiEUM1IQIDj2fjttbYUgUjJVkfCO2YWLnpBWg
8oYjYpdILQLXPjZjIK6MkcN0XaX6EmwjvQ89HR0OzhaLorJdtQdGFBN5zgkZvkm9jKq7bipWRU8W
kOum9ipyaqIVOQJ/ieKuPdGT2HQwZYVavPSngi9W79nYgsfcS5eeG+vX1Nh4ldp6uhQmWb9ZDUY1
IW6gXDiURQtMvUQtp2oH8FA+M+9GzcVpFhVzHqMh9A3vQm+7eE9mL+o7kXCcdbt6kwszQsySx+um
TbyzBPL30o8muSTwU9viI/WfEjw88Kop3hH7B9a2HDv9xqXKuUwrh9Bt1o1VbhK/u7BaNZ1ikREr
arFmIya3AE1EhEO8gPN3zDyDJ6rCjEBtr+YUHvZjqtDJ9OBy7c67UlkCtp884UPvWdUXPc/qCyvV
99bkfG59/XwqYzKArWw3jdm+7yEz2+NVpBE7ZFvdAUn1OScNuRosl0wHGW+RhBCWA12i3ZSak2U0
BfKKcdOgWvK/A+e2pWOKIiDrA32FevhKlMkZkSweFtvcWgVUEPRfZitylI+4wlpfgikhRLQ8cqYb
sXjK4LOfDDa8Z686TI3BIj4JzbnNAM2fymRssOto+jlK/Aw3VmtCE/DalEH83Opz8sHd9Q2enizs
+rvetB0gtKGdkggw4T40NWOvu552Uopae2zMNqABZwsGVo5oFl2h3I8qc8RZAaUebHKEYgDizgjD
OY+fYkfJtc6nkvTfEsldaUfFVi/t4nNvC+fSxX+4yDBIfZFV+an1RveT70/ulqNxep1zdjtQSjj3
0AAzUNSRvkdX5O7RtISIyJxoBWhyzzgu3Pf6UGxkbWo7X1cp2XeWuGKDpgQYEG3i6U75RNspjAcj
6C5oZqXn2WDRKc1SaEAwo4z9iLQMLL6RuPety4kb8xnzfGJOxxuo8MNJrhrjwCGuswiRqPqjaXvq
NEjJeGeQliBVndrPKg/UPqB232FcMW8bnehrxDqlQqmRyM8ZR0u5TJOpqZf9oNn1ha+nmAAClWty
BbqqWbgEmJKAo4hiCZQHaqZNB9RTGg9Dupg69I6T31slNPFFo/FW1OngRusmFOztRW+WYMIZlJpN
j/owEcFaw5B9yXKBqCSNRXyRRBQuHrEMB9VO7b53fP3ATk9rTmDdvQGIaJxaadtQ0tRG+UjKYHip
E2hN99NIBKbqGsLM4Orodg1XO8uDlHwsZajS4EGL5FJMZnEe9FN6aKQCNxIMxbrNDNg5njXsXFdB
2G41VV15lQouPRf9X5TTT+krwFPgpz1zgwGCE6HvZPFeJAEIg3J09kbUDGc6RKgtVqN2X+iVOo/o
sn62Kypjzmsz5UOMdxWyMpIPOPzfGjIHNymI4A0Uk1+mhPLGLmhExRbd5Tgz4i0iY75bo8rTiyDM
1BVhJMPVaDMH5wsn22Xlu8T6js7acNudVuty55Z9hII00Hd+CgW0dbX6YDh+fohx1d/XkF/BV+nl
szIpxBd4ERhDT552446duOwbYd8bQa3ZS6NSyPAUp28ct8kZs34+0oVpfoWu6REAp6p7gl2NlQa+
9z6OYN2mZtq1C2j+09o0RmA3KFqw2qTRRm8iBeAjbLBgSwpkDQXdjeXmwSaKvJa4Jk+NJ2VamPsw
j6ftmDv21vNbDw6RnFahkQC2kp3/QAXvbupGdNe1j9ubvwaz7Mp9iJWRb/NQRhvUPfWFcPBgINae
2UqMrC1D5J8RT/uffS/PD53Tk1k7ECk/TAwOUkRY67yXJo0GzRUnnNTqtYFN1FraWRqdEl7dndKC
qTHcePLEmoz8UOEHgXoXP0JC8ejAN6dVxHjRZVeD+fa5Mqd6QL7lXoc1iO98GE/AEoe3dZL1z0Wj
w9WS5rBt5YwgcztRG2tnnKgUdUK5IqQDyFa10XTCZSvNal+5WrucLNDusiNbKPMYZdNXhu2VAHvN
8Spa5oMExGHTkj83yn6Xhx602Dg8py0lSaCnITxSzOcJ7jD0cnRApCGXoMeLao1MGSyEodtmdpqa
baPTBkPBHiVdAW0k6iAHtkl2wqh2fi1GWKzlgMIvkvIz4zRW5q50ET4pE/zgpOMDks00UieIaS1q
ZW8KP++vTQ0l/hpdkb8bjArNIv4ATvODv1DJtTvRoMjyrjnQiKm+VICioLkQ3MMwKD8dKm4Pukqb
phbwx2morHNkFSbAmYAuWVOMZ4YS29acpp3TD9O2gBv0QHX6xKmdywbHaHCbncqhxnmFtgOyQIsk
XNZ2Sa6CYZXwCTXzGkRZd2olpX4DrQM8j9SgekQuuOcFyBV4snakWysmC8YmJ8cCNbSufR0C6Zwa
giEP349673pVtzOJAmOb6cqnvIVt6YnKPW1FNTHXtGFdRcUhSOHN4RCY1mGfBze8ATn3VHiM7VOU
0p4gcMlq6ujCCNH28Q9N+u6Dsa30qTzAadH3ICTyB9XrBB2A99CXutYDx1ICw4FwWlp2PqbJr7lm
msRzaD7ti9RCRWdKzEOhp+I1sn3H2sIXjk4KC3YwCEYwwtFgwdBheK7TRC4coEN+UV5zvoiL8yzU
tGil5RlaFpaBZXSiN0g2VqKuE3XpD4M8RY2R4ZAz4+ecFQfUiOWoZTbUtJ5NJ74zqUPXCcfdpZca
BuruHiW/wI7F311zlwdRvDETAfu7jJG3wFFf1p6Id3oei3XnMnKhG3c5p2MVKNt4wOZElkO56ojv
W3j6QFHM0YICPg2X+MOGJxUPw1dViSfqP/mZlJGjU/U6HTMrLC99LXR2AKwAArpxvCxKU+1dU6LH
r4AuTpaQ5NDQJnQb6EgqY3tq9M48NWvvVkwKWa4gNURg71gFkG5WUQMZP6uaEGe0XWyipovPkqJQ
l60RaNuALAFkIHm7Vbbh4HBE1urQHH5ilIMzU8pwW0STydvQ5bexXQIFNr3woOfRAHqtbzcaRDiw
UZlzE7rzLKFg61wmYkpWttVmmEt6PzwdyWLeNC5NBol74ovBkHntEbx4yGP6M7oqCZdniULamdgX
HYFsSy0LSJyqIYAHmYm2UnkFKEsa8/Z6ypBF2sTYlUsRK3cdBXq0SVo3CDldKe0k90vrzPVkvzbk
YO3yAbZ30PrRWlaQDTpNBDt7tFJIb8ogdScssTc0JjkNvTqJs6A8uCqj8dE5TDJn5mD8YMeSJGmV
Vtc6VNLVIOgMWHHhLgAAWPdsdFTcjvSoDmJHrC1ihU5JiPF2bgA2rAPm/NUrUu/caezsrk+LfMuU
UV/XWKVgPmLR9+vR2qDX0QmHrAgcSQOfrWYsCLyfh7B0v4d9o7dXdEMIia/wYbgwmb1MftSCclWj
4rroR+0T+upoYYYldpECy7/jSaAUJUVL5bjNshL6cFphjVzLAOPKYrDApXfztIUiniRDPhh01PI2
U9d6ykRBtyYbH3wb8AoYx0haDKc/VJa/4REW1k9qPOvnOm02LP9Aitc8b0qUToAacz5mZDN3TQMD
zZDYizfCTspVAr7hrvbFcOsZhv8wen11KaIpPPNGUX8KwN4yq+SAD95OhNuoG6vbwfSnjW4TlER8
IXMi6WsHQjdFxJc2BuFk8Q5gkLQ4SkD6jx8sx9c0DjUFGCvRFluGAnNMZUp2U6w9hk4ZrkyNoCAt
Ifwil859VzfGidZWNrmxvvEgug4JrIE/GNBFucKuwJc2te0LK0tR8mAEsld57U24MFz3Myf1cGvP
+Cca9seytw9di8yQE8oCMkK6wvIwruwpGq/6riAkKp32JBmQUZBCpWB+S+wTVWmERzUb5MSyHUr7
SbQ1LSgNMDebe86hcN1rRvlxEnkGxCf2iCeRkdPvA9cdTyIm9yajAOFclWXTXzYAvucUCSNA0J6K
Z7vT46cqmPpVZWnuGtS6uC6nFJExxl3CRh0kfuXYO2dYKLSdLVISapOprAGA4ZgCeqQPz30zPDTR
VDPEtOONJfNsYw91toGGxMSfocHCJLkLlaRNqEyNys5ddDZjqq7smzX6xPhySgt2aHq/pwH16yGG
LU8UE8CQa77o/sngD+pElBb6eAYVOHDH5msVtRwFc6UGsBXKRu3AeYEouBpo3tIjCwbYHufs/uXI
nb0cv8V8EmcX5lBOvC55am0tNjq1PEmiCo6cOZ/kEaCzNnnz+d54OenrwOpZHzj/K81r9/5cE6Rz
dZDNdUKX9cJayJDowiZRxqYq/YbUJwoM+VJroPfjDZJzCWK+VCPdXJjQS1OH/KVagcw/0FqM2Kwd
JZaQzPyZyVhr6zDSAMK/lDzeS/ljuLKodm3tDgi8HeN0kDZyPauCKiNTPrioQUl6tQ33yIRBLHxC
IglS69uDNUjg6x4OQxYx6q2pnm4qNPKrTKuuNRHHu0rjhpm4+K9R21mEfHFSBvWH0qfkKHzqDlCU
+ogizZJB65DH1IEb9TiGIcFvCVQMdeMjGkp72WG9PPiecu9r3oMRHjMlI2GJwxLsAHUkCoD0PEpb
OgUUmcSQJUv1Unk6L1WoPxekFaK4bT0Xqd1criL/QxlKBVvNpSzmTN72ubzlSc6FLiWvnItf4oD6
WWnE9G4ujW0t9D4VVv1pYEjzxZkL6G4upae5qC7m8hpiDJU2OSjjLprLb38uxMeXmjyby/N8LtQR
p4ozImncj8NcxrcvFT3C/gC7PGX+NBf8CYt0HuBdaTHS5Vif585AOjcJyGxwd/bcOBBt56/+eEV9
Ydb/SHgwLEHiNwnktN/goXuor39cUBsf0Q84IG07tp51WtC9bUXgQSoDVybmCCaUX/ZBt2bBAXpn
ghPh82574RqfGpwTRAuWbvg09p06JfNyPNM8ozlAXPcfOBiU96ZX7bu4aNadTsIUhyd1LUl3IylD
q1Le08Sc7YFjugME1FAKtAljaCfU3NPGQ867bkeelemLnpNVMBVHshdhoqFuhCM6zQtZ+rKmJS/r
2/Sy1lkv6140L4H+vBj+8Q17sYi9uWEvnUIO02Juc7n2bAz+YQfyCRkbLUybW/RBN9OD+VAftYf6
Wl00V7hMi0stu/jjR7Tmt+CnRzR06BszC4Sl0v3pERUNFprjcbBFYhN8yXCztKizk/EiHeJJLDlJ
V2dyrFF8GmEafTHsiZBTK0i/omkeIBWOcbApEoX6TricqNdTYLKHC1Kv9C2xoNpHvKPOreP6bHVO
UYLTSy3Xg1CejhJUaFnvMUrCkS2m4YSTDOsT7ZQFrp/rbpi8LfJpIItunmyItKg3Y6NQnpf29BkR
GCxzFWQnfW17W4Dn2l0eK7lHCpVeMeUKz0TWEZBFz766iXxnQooaJylKioHYvSGW9yTrzetXLrKP
Lzf1/5s+dX6gX5IY/rmUhe/P8TdjFn5hs8y/PZRx0d6W65+DGv7UP3rthv/2hd7kNjyWXdFKUiCg
ABZv9Kjzh/9N5//lKb1kRvzRFbJjG7fd0zMpC+IDmDqiIgUfWnxx4fefu/4HJl6mRW9ff/nzjRfw
w635vRf/x6/r75Ms/v46b5758Qn29yxdl/Fj++NrhzDgMAT4M6/+p2v8+uoNRh6GA/zWY3Dx46v3
kPW6s0vlm0z43+hloyVmVbNgzrzrlQvvg2OZ1LVMel7+MG/58Qa4Hxi2sIhg03n582/39rskMQsT
UfX7boP4QJwDCmw22d+6DcYHTMi6w734N70NlsG07p03wfA/WOSy4aH6/l3/6bPgfDB0zwex9O0e
zFYubvq/03fC4VD/3ptgfXDZxAUr4W9+ErgJbLAwnWZPG3++Lbz/VjfBACfG83vvjXA/eLo+O/N+
WhP9D7rOoBcKwbc78G3o/KfuwJ/4R7/smWgGs6eXLTV+bn5IP/qH/+B14/n7C3zfUE6e/ue/DHbM
N/9wtot8u/Svrsr/+2bDePmk//DL10/+y+N8/+/fX+DfP/Sbx3p9Va8/3MXP8igf4ZK9nCC+P82L
Y87G/L/w9wHVHeTx6bmJftz4GMzP3szf1wf8siL+4fWb5m2YkzDmXs57LwuP+ChfLzPfcI7+LNLv
vezuKMdjcXy90Ms7yUiRle/dV47z4yMm2N+805ZustG+9yFOjxhT/vZ/jnn13387O9LCjd/cIdaU
eTV576OcHWXBmTR9e5O+rYzvvjaf0+ynCxME+f4nvT+mTXR8Us/P1evFXt5bFzPv6w/mr9j//Neb
r+QPS9wffcbPj0/R+NvfIa7/F3zaL59inv7rE52fuYDI+Be8mYfuqXuMnqUc31ycUDvj9Qf/+m05
dEVy/PJ6nZdnTWPrL3jW18fk2LQIjd5c2xXWX3DtmzhN4zfpc6aOue31kf71u3F7zOMMGOhT93qt
+Y58ry7e+8V50V791tJC9Nsslnrv9T8+N+3fFs8FuLbXi708+/nE+vqDf/3WnB9ZzFmwWvnmM/79
zPne574l3gjG0evTnJ/3L4f6d1+7fPOM5+vSP3t9qH/9jrArH/Nj8Y0fGz+WXyDInjQzKq95vfi3
12FAi/0LPvX/K7vi97cnUgzpC/4FH6M/znZ850njVsYVbskf7w/Pm0kY4Id3fwH+KZzvO1/IP6Ai
vvPq58divk+vt2T+GH2r9WfgxXu/D/8I9PHO5756zqL49Vn++sznLsV7n/nql+/bKn6zQn9vhPwF
++FylsbGf+f1/tZo+X+iQiYmZjc5hRFAxBpfCm3wAlYFONcQU6E/EpIKLEXT0dv4ZvA+LaXpyCcx
BbgGGpYewYU0cK7aAHgQN/CYUuCgPfDiPWpkNOzlkQKw3lDAmZIhp3gD940ZmRiaAm8NMQSdVYrf
v9j6m/AhGcxeKGzUFZs21C42SEVyTmpikR0AAAD//w==</cx:binary>
              </cx:geoCache>
            </cx:geography>
          </cx:layoutPr>
        </cx:series>
      </cx:plotAreaRegion>
    </cx:plotArea>
  </cx:chart>
  <cx:spPr>
    <a:noFill/>
    <a:ln>
      <a:solidFill>
        <a:srgbClr val="FFFFFF"/>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21</xdr:col>
      <xdr:colOff>30480</xdr:colOff>
      <xdr:row>6</xdr:row>
      <xdr:rowOff>160020</xdr:rowOff>
    </xdr:from>
    <xdr:to>
      <xdr:col>24</xdr:col>
      <xdr:colOff>30480</xdr:colOff>
      <xdr:row>20</xdr:row>
      <xdr:rowOff>180975</xdr:rowOff>
    </xdr:to>
    <mc:AlternateContent xmlns:mc="http://schemas.openxmlformats.org/markup-compatibility/2006" xmlns:a14="http://schemas.microsoft.com/office/drawing/2010/main">
      <mc:Choice Requires="a14">
        <xdr:graphicFrame macro="">
          <xdr:nvGraphicFramePr>
            <xdr:cNvPr id="9" name="Seller">
              <a:extLst>
                <a:ext uri="{FF2B5EF4-FFF2-40B4-BE49-F238E27FC236}">
                  <a16:creationId xmlns:a16="http://schemas.microsoft.com/office/drawing/2014/main" id="{6C9A10BE-9101-C5D1-0649-5989CA56E935}"/>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mlns="">
        <xdr:sp macro="" textlink="">
          <xdr:nvSpPr>
            <xdr:cNvPr id="0" name=""/>
            <xdr:cNvSpPr>
              <a:spLocks noTextEdit="1"/>
            </xdr:cNvSpPr>
          </xdr:nvSpPr>
          <xdr:spPr>
            <a:xfrm>
              <a:off x="12801600" y="12573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510540</xdr:colOff>
      <xdr:row>9</xdr:row>
      <xdr:rowOff>91440</xdr:rowOff>
    </xdr:from>
    <xdr:to>
      <xdr:col>24</xdr:col>
      <xdr:colOff>510540</xdr:colOff>
      <xdr:row>23</xdr:row>
      <xdr:rowOff>112395</xdr:rowOff>
    </xdr:to>
    <mc:AlternateContent xmlns:mc="http://schemas.openxmlformats.org/markup-compatibility/2006" xmlns:a14="http://schemas.microsoft.com/office/drawing/2010/main">
      <mc:Choice Requires="a14">
        <xdr:graphicFrame macro="">
          <xdr:nvGraphicFramePr>
            <xdr:cNvPr id="10" name="Payment_Method">
              <a:extLst>
                <a:ext uri="{FF2B5EF4-FFF2-40B4-BE49-F238E27FC236}">
                  <a16:creationId xmlns:a16="http://schemas.microsoft.com/office/drawing/2014/main" id="{6A0FE202-8D79-9929-86A8-A568FD332806}"/>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3281660" y="17373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381000</xdr:colOff>
      <xdr:row>12</xdr:row>
      <xdr:rowOff>22860</xdr:rowOff>
    </xdr:from>
    <xdr:to>
      <xdr:col>25</xdr:col>
      <xdr:colOff>381000</xdr:colOff>
      <xdr:row>26</xdr:row>
      <xdr:rowOff>43815</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C5AE5E23-342B-97C0-4D89-FFF757EB696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761720" y="22174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0</xdr:row>
      <xdr:rowOff>68580</xdr:rowOff>
    </xdr:from>
    <xdr:to>
      <xdr:col>19</xdr:col>
      <xdr:colOff>106680</xdr:colOff>
      <xdr:row>4</xdr:row>
      <xdr:rowOff>175260</xdr:rowOff>
    </xdr:to>
    <xdr:sp macro="" textlink="">
      <xdr:nvSpPr>
        <xdr:cNvPr id="2" name="Rectangle: Rounded Corners 1">
          <a:extLst>
            <a:ext uri="{FF2B5EF4-FFF2-40B4-BE49-F238E27FC236}">
              <a16:creationId xmlns:a16="http://schemas.microsoft.com/office/drawing/2014/main" id="{F1935F3B-E82A-AD28-7F0A-E7520878F0F9}"/>
            </a:ext>
          </a:extLst>
        </xdr:cNvPr>
        <xdr:cNvSpPr/>
      </xdr:nvSpPr>
      <xdr:spPr>
        <a:xfrm>
          <a:off x="91440" y="68580"/>
          <a:ext cx="11597640" cy="838200"/>
        </a:xfrm>
        <a:prstGeom prst="round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83820</xdr:colOff>
      <xdr:row>5</xdr:row>
      <xdr:rowOff>22860</xdr:rowOff>
    </xdr:from>
    <xdr:to>
      <xdr:col>2</xdr:col>
      <xdr:colOff>563880</xdr:colOff>
      <xdr:row>32</xdr:row>
      <xdr:rowOff>121920</xdr:rowOff>
    </xdr:to>
    <xdr:sp macro="" textlink="">
      <xdr:nvSpPr>
        <xdr:cNvPr id="3" name="Rectangle: Rounded Corners 2">
          <a:extLst>
            <a:ext uri="{FF2B5EF4-FFF2-40B4-BE49-F238E27FC236}">
              <a16:creationId xmlns:a16="http://schemas.microsoft.com/office/drawing/2014/main" id="{C9870D02-36AA-3813-DC45-54760793EAFC}"/>
            </a:ext>
          </a:extLst>
        </xdr:cNvPr>
        <xdr:cNvSpPr/>
      </xdr:nvSpPr>
      <xdr:spPr>
        <a:xfrm>
          <a:off x="83820" y="937260"/>
          <a:ext cx="1699260" cy="5036820"/>
        </a:xfrm>
        <a:prstGeom prst="roundRect">
          <a:avLst/>
        </a:prstGeom>
        <a:solidFill>
          <a:schemeClr val="bg1"/>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53340</xdr:colOff>
      <xdr:row>5</xdr:row>
      <xdr:rowOff>121920</xdr:rowOff>
    </xdr:from>
    <xdr:to>
      <xdr:col>6</xdr:col>
      <xdr:colOff>106680</xdr:colOff>
      <xdr:row>10</xdr:row>
      <xdr:rowOff>0</xdr:rowOff>
    </xdr:to>
    <xdr:sp macro="" textlink="">
      <xdr:nvSpPr>
        <xdr:cNvPr id="4" name="Rectangle: Rounded Corners 3">
          <a:extLst>
            <a:ext uri="{FF2B5EF4-FFF2-40B4-BE49-F238E27FC236}">
              <a16:creationId xmlns:a16="http://schemas.microsoft.com/office/drawing/2014/main" id="{B4F4C30D-F5CF-70D1-C7CE-A2B4EA405455}"/>
            </a:ext>
          </a:extLst>
        </xdr:cNvPr>
        <xdr:cNvSpPr/>
      </xdr:nvSpPr>
      <xdr:spPr>
        <a:xfrm>
          <a:off x="1882140" y="1036320"/>
          <a:ext cx="1882140" cy="792480"/>
        </a:xfrm>
        <a:prstGeom prst="roundRect">
          <a:avLst/>
        </a:prstGeom>
        <a:gradFill>
          <a:gsLst>
            <a:gs pos="94000">
              <a:srgbClr val="FFFFFF"/>
            </a:gs>
            <a:gs pos="0">
              <a:srgbClr val="4C9BFA"/>
            </a:gs>
            <a:gs pos="27000">
              <a:schemeClr val="accent1">
                <a:lumMod val="45000"/>
                <a:lumOff val="55000"/>
              </a:schemeClr>
            </a:gs>
            <a:gs pos="67000">
              <a:schemeClr val="accent1">
                <a:lumMod val="30000"/>
                <a:lumOff val="70000"/>
              </a:schemeClr>
            </a:gs>
          </a:gsLst>
          <a:lin ang="5400000" scaled="1"/>
        </a:gradFill>
        <a:ln w="3175">
          <a:solidFill>
            <a:srgbClr val="7DBFF0"/>
          </a:solidFill>
        </a:ln>
        <a:effectLst>
          <a:outerShdw blurRad="101600" dist="381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190500</xdr:colOff>
      <xdr:row>5</xdr:row>
      <xdr:rowOff>129540</xdr:rowOff>
    </xdr:from>
    <xdr:to>
      <xdr:col>9</xdr:col>
      <xdr:colOff>251460</xdr:colOff>
      <xdr:row>10</xdr:row>
      <xdr:rowOff>22860</xdr:rowOff>
    </xdr:to>
    <xdr:sp macro="" textlink="">
      <xdr:nvSpPr>
        <xdr:cNvPr id="5" name="Rectangle: Rounded Corners 4">
          <a:extLst>
            <a:ext uri="{FF2B5EF4-FFF2-40B4-BE49-F238E27FC236}">
              <a16:creationId xmlns:a16="http://schemas.microsoft.com/office/drawing/2014/main" id="{BAA2F298-CAE9-48B1-B800-D7E500A5D5CD}"/>
            </a:ext>
          </a:extLst>
        </xdr:cNvPr>
        <xdr:cNvSpPr/>
      </xdr:nvSpPr>
      <xdr:spPr>
        <a:xfrm>
          <a:off x="3848100" y="1043940"/>
          <a:ext cx="1889760" cy="807720"/>
        </a:xfrm>
        <a:prstGeom prst="roundRect">
          <a:avLst/>
        </a:prstGeom>
        <a:gradFill>
          <a:gsLst>
            <a:gs pos="27000">
              <a:srgbClr val="86EFAC"/>
            </a:gs>
            <a:gs pos="62000">
              <a:srgbClr val="62D98A"/>
            </a:gs>
            <a:gs pos="98000">
              <a:srgbClr val="FFFFFF"/>
            </a:gs>
            <a:gs pos="0">
              <a:srgbClr val="22C55E"/>
            </a:gs>
          </a:gsLst>
          <a:lin ang="5400000" scaled="1"/>
        </a:gradFill>
        <a:ln w="3175">
          <a:solidFill>
            <a:srgbClr val="7DBFF0"/>
          </a:solidFill>
        </a:ln>
        <a:effectLst>
          <a:outerShdw blurRad="101600" dist="381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358140</xdr:colOff>
      <xdr:row>5</xdr:row>
      <xdr:rowOff>114300</xdr:rowOff>
    </xdr:from>
    <xdr:to>
      <xdr:col>12</xdr:col>
      <xdr:colOff>365760</xdr:colOff>
      <xdr:row>10</xdr:row>
      <xdr:rowOff>38100</xdr:rowOff>
    </xdr:to>
    <xdr:sp macro="" textlink="">
      <xdr:nvSpPr>
        <xdr:cNvPr id="6" name="Rectangle: Rounded Corners 5">
          <a:extLst>
            <a:ext uri="{FF2B5EF4-FFF2-40B4-BE49-F238E27FC236}">
              <a16:creationId xmlns:a16="http://schemas.microsoft.com/office/drawing/2014/main" id="{2ADE813C-EC8D-4C70-A9A1-B962FDD6A44F}"/>
            </a:ext>
          </a:extLst>
        </xdr:cNvPr>
        <xdr:cNvSpPr/>
      </xdr:nvSpPr>
      <xdr:spPr>
        <a:xfrm>
          <a:off x="5844540" y="1028700"/>
          <a:ext cx="1836420" cy="838200"/>
        </a:xfrm>
        <a:prstGeom prst="roundRect">
          <a:avLst/>
        </a:prstGeom>
        <a:gradFill>
          <a:gsLst>
            <a:gs pos="100000">
              <a:srgbClr val="FFFFFF"/>
            </a:gs>
            <a:gs pos="0">
              <a:srgbClr val="F59E0B"/>
            </a:gs>
            <a:gs pos="32000">
              <a:srgbClr val="FCD34D"/>
            </a:gs>
            <a:gs pos="59000">
              <a:srgbClr val="FFE19A"/>
            </a:gs>
          </a:gsLst>
          <a:lin ang="5400000" scaled="1"/>
        </a:gradFill>
        <a:ln w="3175">
          <a:solidFill>
            <a:srgbClr val="7DBFF0"/>
          </a:solidFill>
        </a:ln>
        <a:effectLst>
          <a:outerShdw blurRad="101600" dist="381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480060</xdr:colOff>
      <xdr:row>5</xdr:row>
      <xdr:rowOff>121920</xdr:rowOff>
    </xdr:from>
    <xdr:to>
      <xdr:col>15</xdr:col>
      <xdr:colOff>502920</xdr:colOff>
      <xdr:row>10</xdr:row>
      <xdr:rowOff>60960</xdr:rowOff>
    </xdr:to>
    <xdr:sp macro="" textlink="">
      <xdr:nvSpPr>
        <xdr:cNvPr id="7" name="Rectangle: Rounded Corners 6">
          <a:extLst>
            <a:ext uri="{FF2B5EF4-FFF2-40B4-BE49-F238E27FC236}">
              <a16:creationId xmlns:a16="http://schemas.microsoft.com/office/drawing/2014/main" id="{92CFA1DE-1042-4F3A-9AED-9A8B158F4E4F}"/>
            </a:ext>
          </a:extLst>
        </xdr:cNvPr>
        <xdr:cNvSpPr/>
      </xdr:nvSpPr>
      <xdr:spPr>
        <a:xfrm>
          <a:off x="7795260" y="1036320"/>
          <a:ext cx="1851660" cy="853440"/>
        </a:xfrm>
        <a:prstGeom prst="roundRect">
          <a:avLst/>
        </a:prstGeom>
        <a:gradFill>
          <a:gsLst>
            <a:gs pos="94000">
              <a:srgbClr val="FFFFFF"/>
            </a:gs>
            <a:gs pos="75000">
              <a:srgbClr val="DDB8F5"/>
            </a:gs>
            <a:gs pos="0">
              <a:srgbClr val="885CF6"/>
            </a:gs>
            <a:gs pos="56000">
              <a:srgbClr val="C4B5FD"/>
            </a:gs>
            <a:gs pos="34000">
              <a:srgbClr val="B76BE8"/>
            </a:gs>
          </a:gsLst>
          <a:lin ang="5400000" scaled="1"/>
        </a:gradFill>
        <a:ln w="3175">
          <a:solidFill>
            <a:srgbClr val="7DBFF0"/>
          </a:solidFill>
        </a:ln>
        <a:effectLst>
          <a:outerShdw blurRad="101600" dist="381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579120</xdr:colOff>
      <xdr:row>5</xdr:row>
      <xdr:rowOff>121920</xdr:rowOff>
    </xdr:from>
    <xdr:to>
      <xdr:col>19</xdr:col>
      <xdr:colOff>68580</xdr:colOff>
      <xdr:row>10</xdr:row>
      <xdr:rowOff>83820</xdr:rowOff>
    </xdr:to>
    <xdr:sp macro="" textlink="">
      <xdr:nvSpPr>
        <xdr:cNvPr id="8" name="Rectangle: Rounded Corners 7">
          <a:extLst>
            <a:ext uri="{FF2B5EF4-FFF2-40B4-BE49-F238E27FC236}">
              <a16:creationId xmlns:a16="http://schemas.microsoft.com/office/drawing/2014/main" id="{B54CF9FB-06C1-426A-8E22-1E819C5352FD}"/>
            </a:ext>
          </a:extLst>
        </xdr:cNvPr>
        <xdr:cNvSpPr/>
      </xdr:nvSpPr>
      <xdr:spPr>
        <a:xfrm>
          <a:off x="9723120" y="1036320"/>
          <a:ext cx="1927860" cy="876300"/>
        </a:xfrm>
        <a:prstGeom prst="roundRect">
          <a:avLst/>
        </a:prstGeom>
        <a:gradFill>
          <a:gsLst>
            <a:gs pos="94000">
              <a:srgbClr val="FFFFFF"/>
            </a:gs>
            <a:gs pos="4000">
              <a:srgbClr val="F43F5E"/>
            </a:gs>
            <a:gs pos="27000">
              <a:srgbClr val="FB7185"/>
            </a:gs>
            <a:gs pos="48000">
              <a:srgbClr val="FF6B85"/>
            </a:gs>
            <a:gs pos="75000">
              <a:srgbClr val="FFB6C5"/>
            </a:gs>
          </a:gsLst>
          <a:lin ang="5400000" scaled="1"/>
        </a:gradFill>
        <a:ln w="3175">
          <a:solidFill>
            <a:srgbClr val="7DBFF0"/>
          </a:solidFill>
        </a:ln>
        <a:effectLst>
          <a:outerShdw blurRad="101600" dist="381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15240</xdr:colOff>
      <xdr:row>11</xdr:row>
      <xdr:rowOff>7620</xdr:rowOff>
    </xdr:from>
    <xdr:to>
      <xdr:col>8</xdr:col>
      <xdr:colOff>152400</xdr:colOff>
      <xdr:row>21</xdr:row>
      <xdr:rowOff>22860</xdr:rowOff>
    </xdr:to>
    <xdr:sp macro="" textlink="">
      <xdr:nvSpPr>
        <xdr:cNvPr id="9" name="Rectangle: Rounded Corners 8">
          <a:extLst>
            <a:ext uri="{FF2B5EF4-FFF2-40B4-BE49-F238E27FC236}">
              <a16:creationId xmlns:a16="http://schemas.microsoft.com/office/drawing/2014/main" id="{2599D828-457E-62A4-BA38-2EA17146E43B}"/>
            </a:ext>
          </a:extLst>
        </xdr:cNvPr>
        <xdr:cNvSpPr/>
      </xdr:nvSpPr>
      <xdr:spPr>
        <a:xfrm>
          <a:off x="1844040" y="2019300"/>
          <a:ext cx="3185160" cy="1844040"/>
        </a:xfrm>
        <a:prstGeom prst="roundRect">
          <a:avLst/>
        </a:prstGeom>
        <a:solidFill>
          <a:srgbClr val="EAF5FF"/>
        </a:solidFill>
        <a:ln>
          <a:solidFill>
            <a:srgbClr val="00B0F0"/>
          </a:solidFill>
        </a:ln>
        <a:effectLst>
          <a:outerShdw blurRad="50800" dist="12700" dir="5400000" algn="ctr" rotWithShape="0">
            <a:srgbClr val="000000">
              <a:alpha val="1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38100</xdr:colOff>
      <xdr:row>21</xdr:row>
      <xdr:rowOff>114300</xdr:rowOff>
    </xdr:from>
    <xdr:to>
      <xdr:col>8</xdr:col>
      <xdr:colOff>190500</xdr:colOff>
      <xdr:row>31</xdr:row>
      <xdr:rowOff>106680</xdr:rowOff>
    </xdr:to>
    <xdr:sp macro="" textlink="">
      <xdr:nvSpPr>
        <xdr:cNvPr id="20" name="Rectangle: Rounded Corners 19">
          <a:extLst>
            <a:ext uri="{FF2B5EF4-FFF2-40B4-BE49-F238E27FC236}">
              <a16:creationId xmlns:a16="http://schemas.microsoft.com/office/drawing/2014/main" id="{E19AF958-8AAB-492F-83AF-1262BBDF6728}"/>
            </a:ext>
          </a:extLst>
        </xdr:cNvPr>
        <xdr:cNvSpPr/>
      </xdr:nvSpPr>
      <xdr:spPr>
        <a:xfrm>
          <a:off x="1866900" y="3954780"/>
          <a:ext cx="3200400" cy="1821180"/>
        </a:xfrm>
        <a:prstGeom prst="roundRect">
          <a:avLst/>
        </a:prstGeom>
        <a:solidFill>
          <a:srgbClr val="F7EDFF"/>
        </a:solidFill>
        <a:ln>
          <a:solidFill>
            <a:srgbClr val="8E44AD"/>
          </a:solidFill>
        </a:ln>
        <a:effectLst>
          <a:outerShdw blurRad="50800" dist="12700" dir="5400000" algn="ctr" rotWithShape="0">
            <a:srgbClr val="000000">
              <a:alpha val="1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251460</xdr:colOff>
      <xdr:row>11</xdr:row>
      <xdr:rowOff>45720</xdr:rowOff>
    </xdr:from>
    <xdr:to>
      <xdr:col>13</xdr:col>
      <xdr:colOff>441960</xdr:colOff>
      <xdr:row>21</xdr:row>
      <xdr:rowOff>30480</xdr:rowOff>
    </xdr:to>
    <xdr:sp macro="" textlink="">
      <xdr:nvSpPr>
        <xdr:cNvPr id="21" name="Rectangle: Rounded Corners 20">
          <a:extLst>
            <a:ext uri="{FF2B5EF4-FFF2-40B4-BE49-F238E27FC236}">
              <a16:creationId xmlns:a16="http://schemas.microsoft.com/office/drawing/2014/main" id="{1F74E559-A271-400A-AA4E-FAFC85E0873D}"/>
            </a:ext>
          </a:extLst>
        </xdr:cNvPr>
        <xdr:cNvSpPr/>
      </xdr:nvSpPr>
      <xdr:spPr>
        <a:xfrm>
          <a:off x="5128260" y="2057400"/>
          <a:ext cx="3238500" cy="1813560"/>
        </a:xfrm>
        <a:prstGeom prst="roundRect">
          <a:avLst/>
        </a:prstGeom>
        <a:solidFill>
          <a:srgbClr val="E8FFF0"/>
        </a:solidFill>
        <a:ln>
          <a:solidFill>
            <a:srgbClr val="00B050"/>
          </a:solidFill>
        </a:ln>
        <a:effectLst>
          <a:outerShdw blurRad="50800" dist="12700" dir="5400000" algn="ctr" rotWithShape="0">
            <a:srgbClr val="000000">
              <a:alpha val="1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556260</xdr:colOff>
      <xdr:row>11</xdr:row>
      <xdr:rowOff>30480</xdr:rowOff>
    </xdr:from>
    <xdr:to>
      <xdr:col>19</xdr:col>
      <xdr:colOff>106680</xdr:colOff>
      <xdr:row>21</xdr:row>
      <xdr:rowOff>30480</xdr:rowOff>
    </xdr:to>
    <xdr:sp macro="" textlink="">
      <xdr:nvSpPr>
        <xdr:cNvPr id="22" name="Rectangle: Rounded Corners 21">
          <a:extLst>
            <a:ext uri="{FF2B5EF4-FFF2-40B4-BE49-F238E27FC236}">
              <a16:creationId xmlns:a16="http://schemas.microsoft.com/office/drawing/2014/main" id="{DA1314A3-641E-407A-B58A-0F146EF68409}"/>
            </a:ext>
          </a:extLst>
        </xdr:cNvPr>
        <xdr:cNvSpPr/>
      </xdr:nvSpPr>
      <xdr:spPr>
        <a:xfrm>
          <a:off x="8481060" y="2042160"/>
          <a:ext cx="3208020" cy="1828800"/>
        </a:xfrm>
        <a:prstGeom prst="roundRect">
          <a:avLst/>
        </a:prstGeom>
        <a:solidFill>
          <a:srgbClr val="FFF8E5"/>
        </a:solidFill>
        <a:ln>
          <a:solidFill>
            <a:srgbClr val="F4B183"/>
          </a:solidFill>
        </a:ln>
        <a:effectLst>
          <a:outerShdw blurRad="50800" dist="12700" dir="5400000" algn="ctr" rotWithShape="0">
            <a:srgbClr val="000000">
              <a:alpha val="1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289560</xdr:colOff>
      <xdr:row>21</xdr:row>
      <xdr:rowOff>144780</xdr:rowOff>
    </xdr:from>
    <xdr:to>
      <xdr:col>13</xdr:col>
      <xdr:colOff>403860</xdr:colOff>
      <xdr:row>31</xdr:row>
      <xdr:rowOff>129540</xdr:rowOff>
    </xdr:to>
    <xdr:sp macro="" textlink="">
      <xdr:nvSpPr>
        <xdr:cNvPr id="23" name="Rectangle: Rounded Corners 22">
          <a:extLst>
            <a:ext uri="{FF2B5EF4-FFF2-40B4-BE49-F238E27FC236}">
              <a16:creationId xmlns:a16="http://schemas.microsoft.com/office/drawing/2014/main" id="{AC6E5A4D-F411-4EA6-A3D3-A10333D5E42D}"/>
            </a:ext>
          </a:extLst>
        </xdr:cNvPr>
        <xdr:cNvSpPr/>
      </xdr:nvSpPr>
      <xdr:spPr>
        <a:xfrm>
          <a:off x="5166360" y="3985260"/>
          <a:ext cx="3162300" cy="1813560"/>
        </a:xfrm>
        <a:prstGeom prst="roundRect">
          <a:avLst/>
        </a:prstGeom>
        <a:solidFill>
          <a:srgbClr val="FFF0F3"/>
        </a:solidFill>
        <a:ln>
          <a:solidFill>
            <a:srgbClr val="FF4D6D"/>
          </a:solidFill>
        </a:ln>
        <a:effectLst>
          <a:outerShdw blurRad="50800" dist="12700" dir="5400000" algn="ctr" rotWithShape="0">
            <a:srgbClr val="000000">
              <a:alpha val="1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533400</xdr:colOff>
      <xdr:row>21</xdr:row>
      <xdr:rowOff>144780</xdr:rowOff>
    </xdr:from>
    <xdr:to>
      <xdr:col>19</xdr:col>
      <xdr:colOff>167640</xdr:colOff>
      <xdr:row>31</xdr:row>
      <xdr:rowOff>137160</xdr:rowOff>
    </xdr:to>
    <xdr:sp macro="" textlink="">
      <xdr:nvSpPr>
        <xdr:cNvPr id="24" name="Rectangle: Rounded Corners 23">
          <a:extLst>
            <a:ext uri="{FF2B5EF4-FFF2-40B4-BE49-F238E27FC236}">
              <a16:creationId xmlns:a16="http://schemas.microsoft.com/office/drawing/2014/main" id="{CA489CF6-85E0-444F-A5D2-31C4DD7B127F}"/>
            </a:ext>
          </a:extLst>
        </xdr:cNvPr>
        <xdr:cNvSpPr/>
      </xdr:nvSpPr>
      <xdr:spPr>
        <a:xfrm>
          <a:off x="8458200" y="3985260"/>
          <a:ext cx="3291840" cy="1821180"/>
        </a:xfrm>
        <a:prstGeom prst="roundRect">
          <a:avLst/>
        </a:prstGeom>
        <a:solidFill>
          <a:srgbClr val="EAF5FF"/>
        </a:solidFill>
        <a:ln>
          <a:solidFill>
            <a:srgbClr val="00B0F0"/>
          </a:solidFill>
        </a:ln>
        <a:effectLst>
          <a:outerShdw blurRad="50800" dist="12700" dir="5400000" algn="ctr" rotWithShape="0">
            <a:srgbClr val="000000">
              <a:alpha val="1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220981</xdr:colOff>
      <xdr:row>1</xdr:row>
      <xdr:rowOff>15240</xdr:rowOff>
    </xdr:from>
    <xdr:to>
      <xdr:col>3</xdr:col>
      <xdr:colOff>220980</xdr:colOff>
      <xdr:row>4</xdr:row>
      <xdr:rowOff>79807</xdr:rowOff>
    </xdr:to>
    <xdr:pic>
      <xdr:nvPicPr>
        <xdr:cNvPr id="11" name="Picture 10">
          <a:extLst>
            <a:ext uri="{FF2B5EF4-FFF2-40B4-BE49-F238E27FC236}">
              <a16:creationId xmlns:a16="http://schemas.microsoft.com/office/drawing/2014/main" id="{5284817F-EC76-DA81-8D90-171799EB38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0981" y="198120"/>
          <a:ext cx="1828799" cy="613207"/>
        </a:xfrm>
        <a:prstGeom prst="rect">
          <a:avLst/>
        </a:prstGeom>
      </xdr:spPr>
    </xdr:pic>
    <xdr:clientData/>
  </xdr:twoCellAnchor>
  <xdr:twoCellAnchor editAs="oneCell">
    <xdr:from>
      <xdr:col>17</xdr:col>
      <xdr:colOff>396240</xdr:colOff>
      <xdr:row>1</xdr:row>
      <xdr:rowOff>15241</xdr:rowOff>
    </xdr:from>
    <xdr:to>
      <xdr:col>18</xdr:col>
      <xdr:colOff>598170</xdr:colOff>
      <xdr:row>4</xdr:row>
      <xdr:rowOff>94469</xdr:rowOff>
    </xdr:to>
    <xdr:pic>
      <xdr:nvPicPr>
        <xdr:cNvPr id="12" name="Picture 11">
          <a:extLst>
            <a:ext uri="{FF2B5EF4-FFF2-40B4-BE49-F238E27FC236}">
              <a16:creationId xmlns:a16="http://schemas.microsoft.com/office/drawing/2014/main" id="{784E2E45-651A-6BF2-726C-A1201A68D3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59440" y="198121"/>
          <a:ext cx="811530" cy="627868"/>
        </a:xfrm>
        <a:prstGeom prst="rect">
          <a:avLst/>
        </a:prstGeom>
      </xdr:spPr>
    </xdr:pic>
    <xdr:clientData/>
  </xdr:twoCellAnchor>
  <xdr:twoCellAnchor editAs="oneCell">
    <xdr:from>
      <xdr:col>9</xdr:col>
      <xdr:colOff>381001</xdr:colOff>
      <xdr:row>6</xdr:row>
      <xdr:rowOff>91441</xdr:rowOff>
    </xdr:from>
    <xdr:to>
      <xdr:col>10</xdr:col>
      <xdr:colOff>293544</xdr:colOff>
      <xdr:row>9</xdr:row>
      <xdr:rowOff>53341</xdr:rowOff>
    </xdr:to>
    <xdr:pic>
      <xdr:nvPicPr>
        <xdr:cNvPr id="17" name="Picture 16">
          <a:extLst>
            <a:ext uri="{FF2B5EF4-FFF2-40B4-BE49-F238E27FC236}">
              <a16:creationId xmlns:a16="http://schemas.microsoft.com/office/drawing/2014/main" id="{FFF469EB-B557-0EDC-E33A-9B2FB9DEF56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867401" y="1188721"/>
          <a:ext cx="522143" cy="510540"/>
        </a:xfrm>
        <a:prstGeom prst="rect">
          <a:avLst/>
        </a:prstGeom>
      </xdr:spPr>
    </xdr:pic>
    <xdr:clientData/>
  </xdr:twoCellAnchor>
  <xdr:twoCellAnchor editAs="oneCell">
    <xdr:from>
      <xdr:col>6</xdr:col>
      <xdr:colOff>228600</xdr:colOff>
      <xdr:row>6</xdr:row>
      <xdr:rowOff>99061</xdr:rowOff>
    </xdr:from>
    <xdr:to>
      <xdr:col>7</xdr:col>
      <xdr:colOff>165201</xdr:colOff>
      <xdr:row>9</xdr:row>
      <xdr:rowOff>83820</xdr:rowOff>
    </xdr:to>
    <xdr:pic>
      <xdr:nvPicPr>
        <xdr:cNvPr id="19" name="Picture 18">
          <a:extLst>
            <a:ext uri="{FF2B5EF4-FFF2-40B4-BE49-F238E27FC236}">
              <a16:creationId xmlns:a16="http://schemas.microsoft.com/office/drawing/2014/main" id="{925F99F3-E8D6-2C95-B29D-69943E3DCB5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886200" y="1196341"/>
          <a:ext cx="546201" cy="533399"/>
        </a:xfrm>
        <a:prstGeom prst="rect">
          <a:avLst/>
        </a:prstGeom>
      </xdr:spPr>
    </xdr:pic>
    <xdr:clientData/>
  </xdr:twoCellAnchor>
  <xdr:twoCellAnchor editAs="oneCell">
    <xdr:from>
      <xdr:col>15</xdr:col>
      <xdr:colOff>601981</xdr:colOff>
      <xdr:row>6</xdr:row>
      <xdr:rowOff>106681</xdr:rowOff>
    </xdr:from>
    <xdr:to>
      <xdr:col>16</xdr:col>
      <xdr:colOff>525780</xdr:colOff>
      <xdr:row>9</xdr:row>
      <xdr:rowOff>91440</xdr:rowOff>
    </xdr:to>
    <xdr:pic>
      <xdr:nvPicPr>
        <xdr:cNvPr id="26" name="Picture 25">
          <a:extLst>
            <a:ext uri="{FF2B5EF4-FFF2-40B4-BE49-F238E27FC236}">
              <a16:creationId xmlns:a16="http://schemas.microsoft.com/office/drawing/2014/main" id="{3B2D18B0-8E11-6A80-8364-BD188169542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745981" y="1203961"/>
          <a:ext cx="533399" cy="533399"/>
        </a:xfrm>
        <a:prstGeom prst="rect">
          <a:avLst/>
        </a:prstGeom>
      </xdr:spPr>
    </xdr:pic>
    <xdr:clientData/>
  </xdr:twoCellAnchor>
  <xdr:twoCellAnchor editAs="oneCell">
    <xdr:from>
      <xdr:col>3</xdr:col>
      <xdr:colOff>152400</xdr:colOff>
      <xdr:row>6</xdr:row>
      <xdr:rowOff>68580</xdr:rowOff>
    </xdr:from>
    <xdr:to>
      <xdr:col>3</xdr:col>
      <xdr:colOff>533400</xdr:colOff>
      <xdr:row>8</xdr:row>
      <xdr:rowOff>169217</xdr:rowOff>
    </xdr:to>
    <xdr:pic>
      <xdr:nvPicPr>
        <xdr:cNvPr id="28" name="Picture 27">
          <a:extLst>
            <a:ext uri="{FF2B5EF4-FFF2-40B4-BE49-F238E27FC236}">
              <a16:creationId xmlns:a16="http://schemas.microsoft.com/office/drawing/2014/main" id="{7153DFA7-D358-C49C-7409-FED97B7A922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981200" y="1165860"/>
          <a:ext cx="381000" cy="466397"/>
        </a:xfrm>
        <a:prstGeom prst="rect">
          <a:avLst/>
        </a:prstGeom>
      </xdr:spPr>
    </xdr:pic>
    <xdr:clientData/>
  </xdr:twoCellAnchor>
  <xdr:twoCellAnchor editAs="oneCell">
    <xdr:from>
      <xdr:col>12</xdr:col>
      <xdr:colOff>487681</xdr:colOff>
      <xdr:row>6</xdr:row>
      <xdr:rowOff>76200</xdr:rowOff>
    </xdr:from>
    <xdr:to>
      <xdr:col>13</xdr:col>
      <xdr:colOff>456724</xdr:colOff>
      <xdr:row>9</xdr:row>
      <xdr:rowOff>76200</xdr:rowOff>
    </xdr:to>
    <xdr:pic>
      <xdr:nvPicPr>
        <xdr:cNvPr id="30" name="Picture 29">
          <a:extLst>
            <a:ext uri="{FF2B5EF4-FFF2-40B4-BE49-F238E27FC236}">
              <a16:creationId xmlns:a16="http://schemas.microsoft.com/office/drawing/2014/main" id="{AAB25EC4-5E40-7250-2F0D-043E706D04D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802881" y="1173480"/>
          <a:ext cx="578643" cy="548640"/>
        </a:xfrm>
        <a:prstGeom prst="rect">
          <a:avLst/>
        </a:prstGeom>
      </xdr:spPr>
    </xdr:pic>
    <xdr:clientData/>
  </xdr:twoCellAnchor>
  <xdr:oneCellAnchor>
    <xdr:from>
      <xdr:col>6</xdr:col>
      <xdr:colOff>91440</xdr:colOff>
      <xdr:row>0</xdr:row>
      <xdr:rowOff>167640</xdr:rowOff>
    </xdr:from>
    <xdr:ext cx="6027420" cy="655949"/>
    <xdr:sp macro="" textlink="">
      <xdr:nvSpPr>
        <xdr:cNvPr id="10" name="TextBox 9">
          <a:extLst>
            <a:ext uri="{FF2B5EF4-FFF2-40B4-BE49-F238E27FC236}">
              <a16:creationId xmlns:a16="http://schemas.microsoft.com/office/drawing/2014/main" id="{29AF7F40-5C8C-D1DA-A5F3-09B0B943BFB3}"/>
            </a:ext>
          </a:extLst>
        </xdr:cNvPr>
        <xdr:cNvSpPr txBox="1"/>
      </xdr:nvSpPr>
      <xdr:spPr>
        <a:xfrm>
          <a:off x="3749040" y="167640"/>
          <a:ext cx="6027420" cy="65594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600">
              <a:solidFill>
                <a:schemeClr val="bg1"/>
              </a:solidFill>
            </a:rPr>
            <a:t>      </a:t>
          </a:r>
          <a:r>
            <a:rPr lang="en-IN" sz="3600" b="1">
              <a:solidFill>
                <a:schemeClr val="bg1"/>
              </a:solidFill>
            </a:rPr>
            <a:t>Amazon </a:t>
          </a:r>
          <a:r>
            <a:rPr lang="en-IN" sz="3600" b="1">
              <a:solidFill>
                <a:srgbClr val="FFC000"/>
              </a:solidFill>
            </a:rPr>
            <a:t>Sales Dashboard</a:t>
          </a:r>
        </a:p>
      </xdr:txBody>
    </xdr:sp>
    <xdr:clientData/>
  </xdr:oneCellAnchor>
  <xdr:twoCellAnchor>
    <xdr:from>
      <xdr:col>4</xdr:col>
      <xdr:colOff>22860</xdr:colOff>
      <xdr:row>8</xdr:row>
      <xdr:rowOff>0</xdr:rowOff>
    </xdr:from>
    <xdr:to>
      <xdr:col>6</xdr:col>
      <xdr:colOff>419100</xdr:colOff>
      <xdr:row>11</xdr:row>
      <xdr:rowOff>152400</xdr:rowOff>
    </xdr:to>
    <xdr:sp macro="" textlink="">
      <xdr:nvSpPr>
        <xdr:cNvPr id="13" name="TextBox 12">
          <a:extLst>
            <a:ext uri="{FF2B5EF4-FFF2-40B4-BE49-F238E27FC236}">
              <a16:creationId xmlns:a16="http://schemas.microsoft.com/office/drawing/2014/main" id="{5891EB87-CEB0-1E5D-BA45-3CEFA1D9947F}"/>
            </a:ext>
          </a:extLst>
        </xdr:cNvPr>
        <xdr:cNvSpPr txBox="1"/>
      </xdr:nvSpPr>
      <xdr:spPr>
        <a:xfrm>
          <a:off x="2461260" y="1463040"/>
          <a:ext cx="161544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Total Sales</a:t>
          </a:r>
        </a:p>
      </xdr:txBody>
    </xdr:sp>
    <xdr:clientData/>
  </xdr:twoCellAnchor>
  <xdr:twoCellAnchor>
    <xdr:from>
      <xdr:col>4</xdr:col>
      <xdr:colOff>45720</xdr:colOff>
      <xdr:row>5</xdr:row>
      <xdr:rowOff>160020</xdr:rowOff>
    </xdr:from>
    <xdr:to>
      <xdr:col>5</xdr:col>
      <xdr:colOff>579120</xdr:colOff>
      <xdr:row>8</xdr:row>
      <xdr:rowOff>137160</xdr:rowOff>
    </xdr:to>
    <xdr:sp macro="" textlink="">
      <xdr:nvSpPr>
        <xdr:cNvPr id="14" name="TextBox 13">
          <a:extLst>
            <a:ext uri="{FF2B5EF4-FFF2-40B4-BE49-F238E27FC236}">
              <a16:creationId xmlns:a16="http://schemas.microsoft.com/office/drawing/2014/main" id="{64190EF6-AAC3-490D-8C94-BCE5525F493B}"/>
            </a:ext>
          </a:extLst>
        </xdr:cNvPr>
        <xdr:cNvSpPr txBox="1"/>
      </xdr:nvSpPr>
      <xdr:spPr>
        <a:xfrm>
          <a:off x="2484120" y="1074420"/>
          <a:ext cx="114300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700" b="1"/>
            <a:t>23.0M</a:t>
          </a:r>
        </a:p>
      </xdr:txBody>
    </xdr:sp>
    <xdr:clientData/>
  </xdr:twoCellAnchor>
  <xdr:twoCellAnchor>
    <xdr:from>
      <xdr:col>7</xdr:col>
      <xdr:colOff>175260</xdr:colOff>
      <xdr:row>7</xdr:row>
      <xdr:rowOff>137160</xdr:rowOff>
    </xdr:from>
    <xdr:to>
      <xdr:col>9</xdr:col>
      <xdr:colOff>571500</xdr:colOff>
      <xdr:row>11</xdr:row>
      <xdr:rowOff>106680</xdr:rowOff>
    </xdr:to>
    <xdr:sp macro="" textlink="">
      <xdr:nvSpPr>
        <xdr:cNvPr id="15" name="TextBox 14">
          <a:extLst>
            <a:ext uri="{FF2B5EF4-FFF2-40B4-BE49-F238E27FC236}">
              <a16:creationId xmlns:a16="http://schemas.microsoft.com/office/drawing/2014/main" id="{69016FED-438D-4A97-9168-189D60267D22}"/>
            </a:ext>
          </a:extLst>
        </xdr:cNvPr>
        <xdr:cNvSpPr txBox="1"/>
      </xdr:nvSpPr>
      <xdr:spPr>
        <a:xfrm>
          <a:off x="4442460" y="1417320"/>
          <a:ext cx="161544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Total Orders</a:t>
          </a:r>
        </a:p>
      </xdr:txBody>
    </xdr:sp>
    <xdr:clientData/>
  </xdr:twoCellAnchor>
  <xdr:twoCellAnchor>
    <xdr:from>
      <xdr:col>10</xdr:col>
      <xdr:colOff>274320</xdr:colOff>
      <xdr:row>7</xdr:row>
      <xdr:rowOff>114300</xdr:rowOff>
    </xdr:from>
    <xdr:to>
      <xdr:col>13</xdr:col>
      <xdr:colOff>60960</xdr:colOff>
      <xdr:row>11</xdr:row>
      <xdr:rowOff>83820</xdr:rowOff>
    </xdr:to>
    <xdr:sp macro="" textlink="">
      <xdr:nvSpPr>
        <xdr:cNvPr id="16" name="TextBox 15">
          <a:extLst>
            <a:ext uri="{FF2B5EF4-FFF2-40B4-BE49-F238E27FC236}">
              <a16:creationId xmlns:a16="http://schemas.microsoft.com/office/drawing/2014/main" id="{7D5DE67A-AC0A-4A08-B290-C9A24111E31C}"/>
            </a:ext>
          </a:extLst>
        </xdr:cNvPr>
        <xdr:cNvSpPr txBox="1"/>
      </xdr:nvSpPr>
      <xdr:spPr>
        <a:xfrm>
          <a:off x="6370320" y="1394460"/>
          <a:ext cx="161544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Total Quantity</a:t>
          </a:r>
        </a:p>
      </xdr:txBody>
    </xdr:sp>
    <xdr:clientData/>
  </xdr:twoCellAnchor>
  <xdr:twoCellAnchor>
    <xdr:from>
      <xdr:col>13</xdr:col>
      <xdr:colOff>381000</xdr:colOff>
      <xdr:row>7</xdr:row>
      <xdr:rowOff>167640</xdr:rowOff>
    </xdr:from>
    <xdr:to>
      <xdr:col>16</xdr:col>
      <xdr:colOff>167640</xdr:colOff>
      <xdr:row>11</xdr:row>
      <xdr:rowOff>137160</xdr:rowOff>
    </xdr:to>
    <xdr:sp macro="" textlink="">
      <xdr:nvSpPr>
        <xdr:cNvPr id="18" name="TextBox 17">
          <a:extLst>
            <a:ext uri="{FF2B5EF4-FFF2-40B4-BE49-F238E27FC236}">
              <a16:creationId xmlns:a16="http://schemas.microsoft.com/office/drawing/2014/main" id="{734BE927-2971-40C5-ACB0-B1984F6858A3}"/>
            </a:ext>
          </a:extLst>
        </xdr:cNvPr>
        <xdr:cNvSpPr txBox="1"/>
      </xdr:nvSpPr>
      <xdr:spPr>
        <a:xfrm>
          <a:off x="8305800" y="1447800"/>
          <a:ext cx="161544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Average</a:t>
          </a:r>
          <a:r>
            <a:rPr lang="en-IN" sz="1600" baseline="0"/>
            <a:t> Rating</a:t>
          </a:r>
          <a:endParaRPr lang="en-IN" sz="1600"/>
        </a:p>
      </xdr:txBody>
    </xdr:sp>
    <xdr:clientData/>
  </xdr:twoCellAnchor>
  <xdr:twoCellAnchor>
    <xdr:from>
      <xdr:col>16</xdr:col>
      <xdr:colOff>419100</xdr:colOff>
      <xdr:row>8</xdr:row>
      <xdr:rowOff>15240</xdr:rowOff>
    </xdr:from>
    <xdr:to>
      <xdr:col>19</xdr:col>
      <xdr:colOff>205740</xdr:colOff>
      <xdr:row>11</xdr:row>
      <xdr:rowOff>167640</xdr:rowOff>
    </xdr:to>
    <xdr:sp macro="" textlink="">
      <xdr:nvSpPr>
        <xdr:cNvPr id="25" name="TextBox 24">
          <a:extLst>
            <a:ext uri="{FF2B5EF4-FFF2-40B4-BE49-F238E27FC236}">
              <a16:creationId xmlns:a16="http://schemas.microsoft.com/office/drawing/2014/main" id="{EDF77BBC-0875-4E6C-9162-22F656D23780}"/>
            </a:ext>
          </a:extLst>
        </xdr:cNvPr>
        <xdr:cNvSpPr txBox="1"/>
      </xdr:nvSpPr>
      <xdr:spPr>
        <a:xfrm>
          <a:off x="10172700" y="1478280"/>
          <a:ext cx="161544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Average</a:t>
          </a:r>
          <a:r>
            <a:rPr lang="en-IN" sz="1600" baseline="0"/>
            <a:t> Delivery</a:t>
          </a:r>
          <a:endParaRPr lang="en-IN" sz="1600"/>
        </a:p>
      </xdr:txBody>
    </xdr:sp>
    <xdr:clientData/>
  </xdr:twoCellAnchor>
  <xdr:twoCellAnchor>
    <xdr:from>
      <xdr:col>7</xdr:col>
      <xdr:colOff>320040</xdr:colOff>
      <xdr:row>5</xdr:row>
      <xdr:rowOff>129540</xdr:rowOff>
    </xdr:from>
    <xdr:to>
      <xdr:col>10</xdr:col>
      <xdr:colOff>106680</xdr:colOff>
      <xdr:row>9</xdr:row>
      <xdr:rowOff>99060</xdr:rowOff>
    </xdr:to>
    <xdr:sp macro="" textlink="">
      <xdr:nvSpPr>
        <xdr:cNvPr id="27" name="TextBox 26">
          <a:extLst>
            <a:ext uri="{FF2B5EF4-FFF2-40B4-BE49-F238E27FC236}">
              <a16:creationId xmlns:a16="http://schemas.microsoft.com/office/drawing/2014/main" id="{7FBDFC29-BB8E-4306-971F-15B6C05E9121}"/>
            </a:ext>
          </a:extLst>
        </xdr:cNvPr>
        <xdr:cNvSpPr txBox="1"/>
      </xdr:nvSpPr>
      <xdr:spPr>
        <a:xfrm>
          <a:off x="4587240" y="1043940"/>
          <a:ext cx="161544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700" b="1"/>
            <a:t>500</a:t>
          </a:r>
        </a:p>
      </xdr:txBody>
    </xdr:sp>
    <xdr:clientData/>
  </xdr:twoCellAnchor>
  <xdr:twoCellAnchor>
    <xdr:from>
      <xdr:col>10</xdr:col>
      <xdr:colOff>419100</xdr:colOff>
      <xdr:row>5</xdr:row>
      <xdr:rowOff>129540</xdr:rowOff>
    </xdr:from>
    <xdr:to>
      <xdr:col>13</xdr:col>
      <xdr:colOff>205740</xdr:colOff>
      <xdr:row>9</xdr:row>
      <xdr:rowOff>99060</xdr:rowOff>
    </xdr:to>
    <xdr:sp macro="" textlink="">
      <xdr:nvSpPr>
        <xdr:cNvPr id="29" name="TextBox 28">
          <a:extLst>
            <a:ext uri="{FF2B5EF4-FFF2-40B4-BE49-F238E27FC236}">
              <a16:creationId xmlns:a16="http://schemas.microsoft.com/office/drawing/2014/main" id="{6AB4C15A-2866-44B6-85D5-1C77B90287C1}"/>
            </a:ext>
          </a:extLst>
        </xdr:cNvPr>
        <xdr:cNvSpPr txBox="1"/>
      </xdr:nvSpPr>
      <xdr:spPr>
        <a:xfrm>
          <a:off x="6515100" y="1043940"/>
          <a:ext cx="161544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700" b="1"/>
            <a:t>2.3K</a:t>
          </a:r>
        </a:p>
      </xdr:txBody>
    </xdr:sp>
    <xdr:clientData/>
  </xdr:twoCellAnchor>
  <xdr:twoCellAnchor>
    <xdr:from>
      <xdr:col>13</xdr:col>
      <xdr:colOff>472440</xdr:colOff>
      <xdr:row>5</xdr:row>
      <xdr:rowOff>167640</xdr:rowOff>
    </xdr:from>
    <xdr:to>
      <xdr:col>16</xdr:col>
      <xdr:colOff>259080</xdr:colOff>
      <xdr:row>9</xdr:row>
      <xdr:rowOff>137160</xdr:rowOff>
    </xdr:to>
    <xdr:sp macro="" textlink="">
      <xdr:nvSpPr>
        <xdr:cNvPr id="31" name="TextBox 30">
          <a:extLst>
            <a:ext uri="{FF2B5EF4-FFF2-40B4-BE49-F238E27FC236}">
              <a16:creationId xmlns:a16="http://schemas.microsoft.com/office/drawing/2014/main" id="{7880DFEC-FA7F-4FF6-9CCA-DA25E1461427}"/>
            </a:ext>
          </a:extLst>
        </xdr:cNvPr>
        <xdr:cNvSpPr txBox="1"/>
      </xdr:nvSpPr>
      <xdr:spPr>
        <a:xfrm>
          <a:off x="8397240" y="1082040"/>
          <a:ext cx="161544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700" b="1"/>
            <a:t>4.12</a:t>
          </a:r>
        </a:p>
      </xdr:txBody>
    </xdr:sp>
    <xdr:clientData/>
  </xdr:twoCellAnchor>
  <xdr:twoCellAnchor>
    <xdr:from>
      <xdr:col>17</xdr:col>
      <xdr:colOff>30480</xdr:colOff>
      <xdr:row>5</xdr:row>
      <xdr:rowOff>175260</xdr:rowOff>
    </xdr:from>
    <xdr:to>
      <xdr:col>19</xdr:col>
      <xdr:colOff>426720</xdr:colOff>
      <xdr:row>9</xdr:row>
      <xdr:rowOff>144780</xdr:rowOff>
    </xdr:to>
    <xdr:sp macro="" textlink="">
      <xdr:nvSpPr>
        <xdr:cNvPr id="33" name="TextBox 32">
          <a:extLst>
            <a:ext uri="{FF2B5EF4-FFF2-40B4-BE49-F238E27FC236}">
              <a16:creationId xmlns:a16="http://schemas.microsoft.com/office/drawing/2014/main" id="{475C17B6-C609-4703-A65E-9445EFC5545B}"/>
            </a:ext>
          </a:extLst>
        </xdr:cNvPr>
        <xdr:cNvSpPr txBox="1"/>
      </xdr:nvSpPr>
      <xdr:spPr>
        <a:xfrm>
          <a:off x="10393680" y="1089660"/>
          <a:ext cx="161544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700" b="1"/>
            <a:t>4.29</a:t>
          </a:r>
        </a:p>
      </xdr:txBody>
    </xdr:sp>
    <xdr:clientData/>
  </xdr:twoCellAnchor>
  <xdr:twoCellAnchor>
    <xdr:from>
      <xdr:col>3</xdr:col>
      <xdr:colOff>45720</xdr:colOff>
      <xdr:row>11</xdr:row>
      <xdr:rowOff>22860</xdr:rowOff>
    </xdr:from>
    <xdr:to>
      <xdr:col>8</xdr:col>
      <xdr:colOff>91440</xdr:colOff>
      <xdr:row>20</xdr:row>
      <xdr:rowOff>152400</xdr:rowOff>
    </xdr:to>
    <xdr:graphicFrame macro="">
      <xdr:nvGraphicFramePr>
        <xdr:cNvPr id="34" name="Chart 33">
          <a:extLst>
            <a:ext uri="{FF2B5EF4-FFF2-40B4-BE49-F238E27FC236}">
              <a16:creationId xmlns:a16="http://schemas.microsoft.com/office/drawing/2014/main" id="{02BAE1E4-0AC2-4945-B70E-D5ABBC033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350520</xdr:colOff>
      <xdr:row>11</xdr:row>
      <xdr:rowOff>45720</xdr:rowOff>
    </xdr:from>
    <xdr:to>
      <xdr:col>7</xdr:col>
      <xdr:colOff>137160</xdr:colOff>
      <xdr:row>15</xdr:row>
      <xdr:rowOff>15240</xdr:rowOff>
    </xdr:to>
    <xdr:sp macro="" textlink="">
      <xdr:nvSpPr>
        <xdr:cNvPr id="36" name="TextBox 35">
          <a:extLst>
            <a:ext uri="{FF2B5EF4-FFF2-40B4-BE49-F238E27FC236}">
              <a16:creationId xmlns:a16="http://schemas.microsoft.com/office/drawing/2014/main" id="{2169DD9B-466A-48DD-A97D-D756EF0F790E}"/>
            </a:ext>
          </a:extLst>
        </xdr:cNvPr>
        <xdr:cNvSpPr txBox="1"/>
      </xdr:nvSpPr>
      <xdr:spPr>
        <a:xfrm>
          <a:off x="2788920" y="2057400"/>
          <a:ext cx="161544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Sales By Month</a:t>
          </a:r>
        </a:p>
      </xdr:txBody>
    </xdr:sp>
    <xdr:clientData/>
  </xdr:twoCellAnchor>
  <xdr:twoCellAnchor>
    <xdr:from>
      <xdr:col>8</xdr:col>
      <xdr:colOff>198120</xdr:colOff>
      <xdr:row>12</xdr:row>
      <xdr:rowOff>60960</xdr:rowOff>
    </xdr:from>
    <xdr:to>
      <xdr:col>13</xdr:col>
      <xdr:colOff>403860</xdr:colOff>
      <xdr:row>21</xdr:row>
      <xdr:rowOff>99060</xdr:rowOff>
    </xdr:to>
    <xdr:graphicFrame macro="">
      <xdr:nvGraphicFramePr>
        <xdr:cNvPr id="37" name="Chart 36">
          <a:extLst>
            <a:ext uri="{FF2B5EF4-FFF2-40B4-BE49-F238E27FC236}">
              <a16:creationId xmlns:a16="http://schemas.microsoft.com/office/drawing/2014/main" id="{B1F50241-8F2E-4FFF-82AD-91F78465B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449580</xdr:colOff>
      <xdr:row>11</xdr:row>
      <xdr:rowOff>38100</xdr:rowOff>
    </xdr:from>
    <xdr:to>
      <xdr:col>12</xdr:col>
      <xdr:colOff>236220</xdr:colOff>
      <xdr:row>15</xdr:row>
      <xdr:rowOff>7620</xdr:rowOff>
    </xdr:to>
    <xdr:sp macro="" textlink="">
      <xdr:nvSpPr>
        <xdr:cNvPr id="38" name="TextBox 37">
          <a:extLst>
            <a:ext uri="{FF2B5EF4-FFF2-40B4-BE49-F238E27FC236}">
              <a16:creationId xmlns:a16="http://schemas.microsoft.com/office/drawing/2014/main" id="{34D8CF61-92DC-4DF3-8F95-E22BB0159D4C}"/>
            </a:ext>
          </a:extLst>
        </xdr:cNvPr>
        <xdr:cNvSpPr txBox="1"/>
      </xdr:nvSpPr>
      <xdr:spPr>
        <a:xfrm>
          <a:off x="5935980" y="2049780"/>
          <a:ext cx="161544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Sales By Category</a:t>
          </a:r>
        </a:p>
      </xdr:txBody>
    </xdr:sp>
    <xdr:clientData/>
  </xdr:twoCellAnchor>
  <xdr:twoCellAnchor>
    <xdr:from>
      <xdr:col>13</xdr:col>
      <xdr:colOff>388620</xdr:colOff>
      <xdr:row>11</xdr:row>
      <xdr:rowOff>22860</xdr:rowOff>
    </xdr:from>
    <xdr:to>
      <xdr:col>16</xdr:col>
      <xdr:colOff>464820</xdr:colOff>
      <xdr:row>21</xdr:row>
      <xdr:rowOff>106680</xdr:rowOff>
    </xdr:to>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0D48C14D-5018-4AB6-B705-5C47A6B79B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313420" y="2034540"/>
              <a:ext cx="1905000" cy="1912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152400</xdr:colOff>
      <xdr:row>11</xdr:row>
      <xdr:rowOff>129540</xdr:rowOff>
    </xdr:from>
    <xdr:to>
      <xdr:col>18</xdr:col>
      <xdr:colOff>541020</xdr:colOff>
      <xdr:row>22</xdr:row>
      <xdr:rowOff>60960</xdr:rowOff>
    </xdr:to>
    <xdr:graphicFrame macro="">
      <xdr:nvGraphicFramePr>
        <xdr:cNvPr id="41" name="Chart 40">
          <a:extLst>
            <a:ext uri="{FF2B5EF4-FFF2-40B4-BE49-F238E27FC236}">
              <a16:creationId xmlns:a16="http://schemas.microsoft.com/office/drawing/2014/main" id="{63A1252E-BEFB-4FD8-B05D-AABE231D2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220980</xdr:colOff>
      <xdr:row>10</xdr:row>
      <xdr:rowOff>167640</xdr:rowOff>
    </xdr:from>
    <xdr:to>
      <xdr:col>18</xdr:col>
      <xdr:colOff>7620</xdr:colOff>
      <xdr:row>14</xdr:row>
      <xdr:rowOff>137160</xdr:rowOff>
    </xdr:to>
    <xdr:sp macro="" textlink="">
      <xdr:nvSpPr>
        <xdr:cNvPr id="42" name="TextBox 41">
          <a:extLst>
            <a:ext uri="{FF2B5EF4-FFF2-40B4-BE49-F238E27FC236}">
              <a16:creationId xmlns:a16="http://schemas.microsoft.com/office/drawing/2014/main" id="{8C0A3617-0E38-4DF4-9D68-6886DF87FCA4}"/>
            </a:ext>
          </a:extLst>
        </xdr:cNvPr>
        <xdr:cNvSpPr txBox="1"/>
      </xdr:nvSpPr>
      <xdr:spPr>
        <a:xfrm>
          <a:off x="9364980" y="1996440"/>
          <a:ext cx="161544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Sales By State</a:t>
          </a:r>
        </a:p>
      </xdr:txBody>
    </xdr:sp>
    <xdr:clientData/>
  </xdr:twoCellAnchor>
  <xdr:twoCellAnchor>
    <xdr:from>
      <xdr:col>2</xdr:col>
      <xdr:colOff>464820</xdr:colOff>
      <xdr:row>22</xdr:row>
      <xdr:rowOff>83820</xdr:rowOff>
    </xdr:from>
    <xdr:to>
      <xdr:col>8</xdr:col>
      <xdr:colOff>83820</xdr:colOff>
      <xdr:row>32</xdr:row>
      <xdr:rowOff>22860</xdr:rowOff>
    </xdr:to>
    <xdr:graphicFrame macro="">
      <xdr:nvGraphicFramePr>
        <xdr:cNvPr id="45" name="Chart 44">
          <a:extLst>
            <a:ext uri="{FF2B5EF4-FFF2-40B4-BE49-F238E27FC236}">
              <a16:creationId xmlns:a16="http://schemas.microsoft.com/office/drawing/2014/main" id="{101E76E1-BCEA-4F40-BBBA-6D80BAE14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533400</xdr:colOff>
      <xdr:row>21</xdr:row>
      <xdr:rowOff>83820</xdr:rowOff>
    </xdr:from>
    <xdr:to>
      <xdr:col>7</xdr:col>
      <xdr:colOff>182880</xdr:colOff>
      <xdr:row>24</xdr:row>
      <xdr:rowOff>45720</xdr:rowOff>
    </xdr:to>
    <xdr:sp macro="" textlink="">
      <xdr:nvSpPr>
        <xdr:cNvPr id="47" name="TextBox 46">
          <a:extLst>
            <a:ext uri="{FF2B5EF4-FFF2-40B4-BE49-F238E27FC236}">
              <a16:creationId xmlns:a16="http://schemas.microsoft.com/office/drawing/2014/main" id="{80482097-C3D5-417D-8A86-C95EA0779497}"/>
            </a:ext>
          </a:extLst>
        </xdr:cNvPr>
        <xdr:cNvSpPr txBox="1"/>
      </xdr:nvSpPr>
      <xdr:spPr>
        <a:xfrm>
          <a:off x="2362200" y="3924300"/>
          <a:ext cx="208788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Sales By Payment</a:t>
          </a:r>
          <a:r>
            <a:rPr lang="en-IN" sz="1400" baseline="0"/>
            <a:t> Method</a:t>
          </a:r>
          <a:endParaRPr lang="en-IN" sz="1400"/>
        </a:p>
      </xdr:txBody>
    </xdr:sp>
    <xdr:clientData/>
  </xdr:twoCellAnchor>
  <xdr:twoCellAnchor>
    <xdr:from>
      <xdr:col>8</xdr:col>
      <xdr:colOff>342900</xdr:colOff>
      <xdr:row>23</xdr:row>
      <xdr:rowOff>30480</xdr:rowOff>
    </xdr:from>
    <xdr:to>
      <xdr:col>13</xdr:col>
      <xdr:colOff>228600</xdr:colOff>
      <xdr:row>31</xdr:row>
      <xdr:rowOff>175260</xdr:rowOff>
    </xdr:to>
    <xdr:graphicFrame macro="">
      <xdr:nvGraphicFramePr>
        <xdr:cNvPr id="48" name="Chart 47">
          <a:extLst>
            <a:ext uri="{FF2B5EF4-FFF2-40B4-BE49-F238E27FC236}">
              <a16:creationId xmlns:a16="http://schemas.microsoft.com/office/drawing/2014/main" id="{DC1A620F-749E-4756-89BC-DE6328FA6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601980</xdr:colOff>
      <xdr:row>21</xdr:row>
      <xdr:rowOff>137160</xdr:rowOff>
    </xdr:from>
    <xdr:to>
      <xdr:col>12</xdr:col>
      <xdr:colOff>289560</xdr:colOff>
      <xdr:row>24</xdr:row>
      <xdr:rowOff>60960</xdr:rowOff>
    </xdr:to>
    <xdr:sp macro="" textlink="">
      <xdr:nvSpPr>
        <xdr:cNvPr id="49" name="TextBox 48">
          <a:extLst>
            <a:ext uri="{FF2B5EF4-FFF2-40B4-BE49-F238E27FC236}">
              <a16:creationId xmlns:a16="http://schemas.microsoft.com/office/drawing/2014/main" id="{EAA5F879-BB72-4B7D-AC9C-E67DCB02D5D1}"/>
            </a:ext>
          </a:extLst>
        </xdr:cNvPr>
        <xdr:cNvSpPr txBox="1"/>
      </xdr:nvSpPr>
      <xdr:spPr>
        <a:xfrm>
          <a:off x="6088380" y="3977640"/>
          <a:ext cx="151638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Sales By Product</a:t>
          </a:r>
        </a:p>
      </xdr:txBody>
    </xdr:sp>
    <xdr:clientData/>
  </xdr:twoCellAnchor>
  <xdr:twoCellAnchor editAs="oneCell">
    <xdr:from>
      <xdr:col>14</xdr:col>
      <xdr:colOff>22860</xdr:colOff>
      <xdr:row>23</xdr:row>
      <xdr:rowOff>22860</xdr:rowOff>
    </xdr:from>
    <xdr:to>
      <xdr:col>19</xdr:col>
      <xdr:colOff>53340</xdr:colOff>
      <xdr:row>31</xdr:row>
      <xdr:rowOff>56202</xdr:rowOff>
    </xdr:to>
    <xdr:pic>
      <xdr:nvPicPr>
        <xdr:cNvPr id="50" name="Picture 49">
          <a:extLst>
            <a:ext uri="{FF2B5EF4-FFF2-40B4-BE49-F238E27FC236}">
              <a16:creationId xmlns:a16="http://schemas.microsoft.com/office/drawing/2014/main" id="{41272132-06C3-5AF8-4EE2-48DF0AD7F624}"/>
            </a:ext>
          </a:extLst>
        </xdr:cNvPr>
        <xdr:cNvPicPr>
          <a:picLocks noChangeAspect="1"/>
        </xdr:cNvPicPr>
      </xdr:nvPicPr>
      <xdr:blipFill>
        <a:blip xmlns:r="http://schemas.openxmlformats.org/officeDocument/2006/relationships" r:embed="rId14"/>
        <a:stretch>
          <a:fillRect/>
        </a:stretch>
      </xdr:blipFill>
      <xdr:spPr>
        <a:xfrm>
          <a:off x="8557260" y="4229100"/>
          <a:ext cx="3078480" cy="1496382"/>
        </a:xfrm>
        <a:prstGeom prst="rect">
          <a:avLst/>
        </a:prstGeom>
      </xdr:spPr>
    </xdr:pic>
    <xdr:clientData/>
  </xdr:twoCellAnchor>
  <xdr:twoCellAnchor>
    <xdr:from>
      <xdr:col>15</xdr:col>
      <xdr:colOff>190500</xdr:colOff>
      <xdr:row>21</xdr:row>
      <xdr:rowOff>114300</xdr:rowOff>
    </xdr:from>
    <xdr:to>
      <xdr:col>17</xdr:col>
      <xdr:colOff>487680</xdr:colOff>
      <xdr:row>24</xdr:row>
      <xdr:rowOff>38100</xdr:rowOff>
    </xdr:to>
    <xdr:sp macro="" textlink="">
      <xdr:nvSpPr>
        <xdr:cNvPr id="51" name="TextBox 50">
          <a:extLst>
            <a:ext uri="{FF2B5EF4-FFF2-40B4-BE49-F238E27FC236}">
              <a16:creationId xmlns:a16="http://schemas.microsoft.com/office/drawing/2014/main" id="{D233366D-B8D1-499C-B5ED-2FA1A1F8A40D}"/>
            </a:ext>
          </a:extLst>
        </xdr:cNvPr>
        <xdr:cNvSpPr txBox="1"/>
      </xdr:nvSpPr>
      <xdr:spPr>
        <a:xfrm>
          <a:off x="9334500" y="3954780"/>
          <a:ext cx="151638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Order</a:t>
          </a:r>
          <a:r>
            <a:rPr lang="en-IN" sz="1400" baseline="0"/>
            <a:t> Details</a:t>
          </a:r>
          <a:endParaRPr lang="en-IN" sz="1400"/>
        </a:p>
      </xdr:txBody>
    </xdr:sp>
    <xdr:clientData/>
  </xdr:twoCellAnchor>
  <xdr:twoCellAnchor editAs="oneCell">
    <xdr:from>
      <xdr:col>0</xdr:col>
      <xdr:colOff>182880</xdr:colOff>
      <xdr:row>16</xdr:row>
      <xdr:rowOff>76201</xdr:rowOff>
    </xdr:from>
    <xdr:to>
      <xdr:col>2</xdr:col>
      <xdr:colOff>441960</xdr:colOff>
      <xdr:row>24</xdr:row>
      <xdr:rowOff>15240</xdr:rowOff>
    </xdr:to>
    <mc:AlternateContent xmlns:mc="http://schemas.openxmlformats.org/markup-compatibility/2006" xmlns:a14="http://schemas.microsoft.com/office/drawing/2010/main">
      <mc:Choice Requires="a14">
        <xdr:graphicFrame macro="">
          <xdr:nvGraphicFramePr>
            <xdr:cNvPr id="53" name="Seller 1">
              <a:extLst>
                <a:ext uri="{FF2B5EF4-FFF2-40B4-BE49-F238E27FC236}">
                  <a16:creationId xmlns:a16="http://schemas.microsoft.com/office/drawing/2014/main" id="{BF428FA6-CEDF-4281-9380-0B3243A4FD46}"/>
                </a:ext>
              </a:extLst>
            </xdr:cNvPr>
            <xdr:cNvGraphicFramePr/>
          </xdr:nvGraphicFramePr>
          <xdr:xfrm>
            <a:off x="0" y="0"/>
            <a:ext cx="0" cy="0"/>
          </xdr:xfrm>
          <a:graphic>
            <a:graphicData uri="http://schemas.microsoft.com/office/drawing/2010/slicer">
              <sle:slicer xmlns:sle="http://schemas.microsoft.com/office/drawing/2010/slicer" name="Seller 1"/>
            </a:graphicData>
          </a:graphic>
        </xdr:graphicFrame>
      </mc:Choice>
      <mc:Fallback xmlns="">
        <xdr:sp macro="" textlink="">
          <xdr:nvSpPr>
            <xdr:cNvPr id="0" name=""/>
            <xdr:cNvSpPr>
              <a:spLocks noTextEdit="1"/>
            </xdr:cNvSpPr>
          </xdr:nvSpPr>
          <xdr:spPr>
            <a:xfrm>
              <a:off x="182880" y="3002281"/>
              <a:ext cx="1478280" cy="1402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24</xdr:row>
      <xdr:rowOff>22861</xdr:rowOff>
    </xdr:from>
    <xdr:to>
      <xdr:col>2</xdr:col>
      <xdr:colOff>487680</xdr:colOff>
      <xdr:row>32</xdr:row>
      <xdr:rowOff>45720</xdr:rowOff>
    </xdr:to>
    <mc:AlternateContent xmlns:mc="http://schemas.openxmlformats.org/markup-compatibility/2006" xmlns:a14="http://schemas.microsoft.com/office/drawing/2010/main">
      <mc:Choice Requires="a14">
        <xdr:graphicFrame macro="">
          <xdr:nvGraphicFramePr>
            <xdr:cNvPr id="54" name="Payment_Method 1">
              <a:extLst>
                <a:ext uri="{FF2B5EF4-FFF2-40B4-BE49-F238E27FC236}">
                  <a16:creationId xmlns:a16="http://schemas.microsoft.com/office/drawing/2014/main" id="{B237AA47-F2CC-4204-9302-B33A81CDEED8}"/>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67640" y="4411981"/>
              <a:ext cx="1539240"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xdr:colOff>
      <xdr:row>5</xdr:row>
      <xdr:rowOff>129540</xdr:rowOff>
    </xdr:from>
    <xdr:to>
      <xdr:col>2</xdr:col>
      <xdr:colOff>396240</xdr:colOff>
      <xdr:row>16</xdr:row>
      <xdr:rowOff>60960</xdr:rowOff>
    </xdr:to>
    <mc:AlternateContent xmlns:mc="http://schemas.openxmlformats.org/markup-compatibility/2006" xmlns:a14="http://schemas.microsoft.com/office/drawing/2010/main">
      <mc:Choice Requires="a14">
        <xdr:graphicFrame macro="">
          <xdr:nvGraphicFramePr>
            <xdr:cNvPr id="55" name="Month 1">
              <a:extLst>
                <a:ext uri="{FF2B5EF4-FFF2-40B4-BE49-F238E27FC236}">
                  <a16:creationId xmlns:a16="http://schemas.microsoft.com/office/drawing/2014/main" id="{CB1556E1-C8B4-4866-88F6-217FA7208D1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82880" y="1043940"/>
              <a:ext cx="143256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JWALA SAI PRIYA" refreshedDate="46304.750804861113" createdVersion="8" refreshedVersion="8" minRefreshableVersion="3" recordCount="500" xr:uid="{72516BC1-FC0A-4772-AE98-6FA65FF25151}">
  <cacheSource type="worksheet">
    <worksheetSource name="Table2"/>
  </cacheSource>
  <cacheFields count="13">
    <cacheField name="Order_ID" numFmtId="0">
      <sharedItems count="500">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haredItems>
    </cacheField>
    <cacheField name="Date" numFmtId="0">
      <sharedItems/>
    </cacheField>
    <cacheField name="Customer_Name" numFmtId="0">
      <sharedItems count="20">
        <s v="Rohit"/>
        <s v="Kavya"/>
        <s v="Neha"/>
        <s v="Rahul"/>
        <s v="Akash"/>
        <s v="Anjali"/>
        <s v="Divya"/>
        <s v="Arjun"/>
        <s v="Ali"/>
        <s v="Vikas"/>
        <s v="Naveen"/>
        <s v="Priya"/>
        <s v="Pooja"/>
        <s v="Aman"/>
        <s v="Sanjay"/>
        <s v="Kiran"/>
        <s v="Vijay"/>
        <s v="Meena"/>
        <s v="Sneha"/>
        <s v="Ria"/>
      </sharedItems>
    </cacheField>
    <cacheField name="Product" numFmtId="0">
      <sharedItems count="21">
        <s v="Shampoo"/>
        <s v="Chair"/>
        <s v="iPhone 15"/>
        <s v="Shoes"/>
        <s v="Jeans"/>
        <s v="Business Book"/>
        <s v="Bedsheet"/>
        <s v="Python Book"/>
        <s v="Lamp"/>
        <s v="Mixer"/>
        <s v="Perfume"/>
        <s v="Watch"/>
        <s v="AirPods Pro"/>
        <s v="Cookbook"/>
        <s v="Laptop"/>
        <s v="Lipstick"/>
        <s v="MacBook Air"/>
        <s v="Novel"/>
        <s v="T-Shirt"/>
        <s v="Sony Headphones"/>
        <s v="Face Wash"/>
      </sharedItems>
    </cacheField>
    <cacheField name="Category" numFmtId="0">
      <sharedItems count="5">
        <s v="Beauty"/>
        <s v="Home"/>
        <s v="Electronics"/>
        <s v="Fashion"/>
        <s v="Books"/>
      </sharedItems>
    </cacheField>
    <cacheField name="State" numFmtId="0">
      <sharedItems count="6">
        <s v="Karnataka"/>
        <s v="Gujrat"/>
        <s v="Telangana"/>
        <s v="Maharashtra"/>
        <s v="Delhi"/>
        <s v="Tamil Nadu"/>
      </sharedItems>
    </cacheField>
    <cacheField name="Seller" numFmtId="0">
      <sharedItems count="4">
        <s v="BookWorld"/>
        <s v="TechStore"/>
        <s v="BeautyCare"/>
        <s v="HomeMart"/>
      </sharedItems>
    </cacheField>
    <cacheField name="Payment_Method" numFmtId="0">
      <sharedItems count="4">
        <s v="Cash"/>
        <s v="Net Banking"/>
        <s v="Card"/>
        <s v="UPI"/>
      </sharedItems>
    </cacheField>
    <cacheField name="Sales" numFmtId="0">
      <sharedItems containsSemiMixedTypes="0" containsString="0" containsNumber="1" containsInteger="1" minValue="307" maxValue="596816"/>
    </cacheField>
    <cacheField name="Quantity" numFmtId="0">
      <sharedItems containsSemiMixedTypes="0" containsString="0" containsNumber="1" containsInteger="1" minValue="1" maxValue="8"/>
    </cacheField>
    <cacheField name="Rating" numFmtId="0">
      <sharedItems containsSemiMixedTypes="0" containsString="0" containsNumber="1" minValue="3.2" maxValue="5"/>
    </cacheField>
    <cacheField name="Delivery" numFmtId="0">
      <sharedItems containsSemiMixedTypes="0" containsString="0" containsNumber="1" containsInteger="1" minValue="1" maxValue="8"/>
    </cacheField>
    <cacheField name="Month" numFmtId="0">
      <sharedItems count="12">
        <s v="May"/>
        <s v="Oct"/>
        <s v="Apr"/>
        <s v="Aug"/>
        <s v="Jul"/>
        <s v="Sep"/>
        <s v="Mar"/>
        <s v="Feb"/>
        <s v="Dec"/>
        <s v="Jun"/>
        <s v="Jan"/>
        <s v="Nov"/>
      </sharedItems>
    </cacheField>
  </cacheFields>
  <extLst>
    <ext xmlns:x14="http://schemas.microsoft.com/office/spreadsheetml/2009/9/main" uri="{725AE2AE-9491-48be-B2B4-4EB974FC3084}">
      <x14:pivotCacheDefinition pivotCacheId="16778321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21/05/2025"/>
    <x v="0"/>
    <x v="0"/>
    <x v="0"/>
    <x v="0"/>
    <x v="0"/>
    <x v="0"/>
    <n v="3028"/>
    <n v="4"/>
    <n v="4.3"/>
    <n v="1"/>
    <x v="0"/>
  </r>
  <r>
    <x v="1"/>
    <s v="15/10/2025"/>
    <x v="1"/>
    <x v="1"/>
    <x v="1"/>
    <x v="1"/>
    <x v="1"/>
    <x v="1"/>
    <n v="32636"/>
    <n v="4"/>
    <n v="4.3"/>
    <n v="1"/>
    <x v="1"/>
  </r>
  <r>
    <x v="2"/>
    <s v="21/04/2025"/>
    <x v="2"/>
    <x v="2"/>
    <x v="2"/>
    <x v="1"/>
    <x v="1"/>
    <x v="2"/>
    <n v="313782"/>
    <n v="6"/>
    <n v="4.7"/>
    <n v="5"/>
    <x v="2"/>
  </r>
  <r>
    <x v="3"/>
    <s v="10/10/2025"/>
    <x v="3"/>
    <x v="3"/>
    <x v="3"/>
    <x v="0"/>
    <x v="0"/>
    <x v="2"/>
    <n v="11375"/>
    <n v="5"/>
    <n v="3.3"/>
    <n v="4"/>
    <x v="1"/>
  </r>
  <r>
    <x v="4"/>
    <s v="21/08/2025"/>
    <x v="4"/>
    <x v="4"/>
    <x v="3"/>
    <x v="1"/>
    <x v="0"/>
    <x v="0"/>
    <n v="14496"/>
    <n v="6"/>
    <n v="3.7"/>
    <n v="2"/>
    <x v="3"/>
  </r>
  <r>
    <x v="5"/>
    <s v="14/07/2025"/>
    <x v="5"/>
    <x v="5"/>
    <x v="4"/>
    <x v="2"/>
    <x v="2"/>
    <x v="0"/>
    <n v="5745"/>
    <n v="5"/>
    <n v="4.7"/>
    <n v="6"/>
    <x v="4"/>
  </r>
  <r>
    <x v="6"/>
    <s v="19/04/2025"/>
    <x v="6"/>
    <x v="6"/>
    <x v="1"/>
    <x v="3"/>
    <x v="1"/>
    <x v="1"/>
    <n v="24696"/>
    <n v="8"/>
    <n v="3.6"/>
    <n v="5"/>
    <x v="2"/>
  </r>
  <r>
    <x v="7"/>
    <s v="18/09/2025"/>
    <x v="4"/>
    <x v="7"/>
    <x v="4"/>
    <x v="0"/>
    <x v="1"/>
    <x v="3"/>
    <n v="3536"/>
    <n v="8"/>
    <n v="3.5"/>
    <n v="7"/>
    <x v="5"/>
  </r>
  <r>
    <x v="8"/>
    <s v="28/09/2025"/>
    <x v="7"/>
    <x v="8"/>
    <x v="1"/>
    <x v="2"/>
    <x v="1"/>
    <x v="0"/>
    <n v="25855"/>
    <n v="5"/>
    <n v="4.5999999999999996"/>
    <n v="6"/>
    <x v="5"/>
  </r>
  <r>
    <x v="9"/>
    <s v="15/05/2025"/>
    <x v="8"/>
    <x v="3"/>
    <x v="3"/>
    <x v="2"/>
    <x v="0"/>
    <x v="2"/>
    <n v="9432"/>
    <n v="3"/>
    <n v="4.0999999999999996"/>
    <n v="4"/>
    <x v="0"/>
  </r>
  <r>
    <x v="10"/>
    <s v="08/09/2025"/>
    <x v="9"/>
    <x v="6"/>
    <x v="1"/>
    <x v="1"/>
    <x v="1"/>
    <x v="2"/>
    <n v="1749"/>
    <n v="1"/>
    <n v="3.6"/>
    <n v="2"/>
    <x v="5"/>
  </r>
  <r>
    <x v="11"/>
    <s v="07/03/2025"/>
    <x v="10"/>
    <x v="9"/>
    <x v="1"/>
    <x v="1"/>
    <x v="0"/>
    <x v="1"/>
    <n v="85904"/>
    <n v="8"/>
    <n v="4"/>
    <n v="4"/>
    <x v="6"/>
  </r>
  <r>
    <x v="12"/>
    <s v="13/08/2025"/>
    <x v="6"/>
    <x v="4"/>
    <x v="3"/>
    <x v="4"/>
    <x v="2"/>
    <x v="2"/>
    <n v="9792"/>
    <n v="8"/>
    <n v="3.2"/>
    <n v="4"/>
    <x v="3"/>
  </r>
  <r>
    <x v="13"/>
    <s v="04/02/2025"/>
    <x v="10"/>
    <x v="10"/>
    <x v="0"/>
    <x v="4"/>
    <x v="1"/>
    <x v="0"/>
    <n v="976"/>
    <n v="1"/>
    <n v="4.4000000000000004"/>
    <n v="4"/>
    <x v="7"/>
  </r>
  <r>
    <x v="14"/>
    <s v="08/04/2025"/>
    <x v="7"/>
    <x v="11"/>
    <x v="3"/>
    <x v="0"/>
    <x v="1"/>
    <x v="1"/>
    <n v="8338"/>
    <n v="2"/>
    <n v="4"/>
    <n v="1"/>
    <x v="2"/>
  </r>
  <r>
    <x v="15"/>
    <s v="09/04/2025"/>
    <x v="9"/>
    <x v="10"/>
    <x v="0"/>
    <x v="3"/>
    <x v="2"/>
    <x v="2"/>
    <n v="5592"/>
    <n v="4"/>
    <n v="3.7"/>
    <n v="4"/>
    <x v="2"/>
  </r>
  <r>
    <x v="16"/>
    <s v="17/02/2025"/>
    <x v="1"/>
    <x v="1"/>
    <x v="1"/>
    <x v="3"/>
    <x v="2"/>
    <x v="3"/>
    <n v="17208"/>
    <n v="4"/>
    <n v="4.8"/>
    <n v="1"/>
    <x v="7"/>
  </r>
  <r>
    <x v="17"/>
    <s v="27/05/2025"/>
    <x v="6"/>
    <x v="12"/>
    <x v="2"/>
    <x v="1"/>
    <x v="2"/>
    <x v="1"/>
    <n v="159523"/>
    <n v="7"/>
    <n v="3.6"/>
    <n v="1"/>
    <x v="0"/>
  </r>
  <r>
    <x v="18"/>
    <s v="27/10/2025"/>
    <x v="9"/>
    <x v="0"/>
    <x v="0"/>
    <x v="5"/>
    <x v="2"/>
    <x v="0"/>
    <n v="10632"/>
    <n v="8"/>
    <n v="3.3"/>
    <n v="3"/>
    <x v="1"/>
  </r>
  <r>
    <x v="19"/>
    <s v="19/10/2025"/>
    <x v="11"/>
    <x v="3"/>
    <x v="3"/>
    <x v="5"/>
    <x v="3"/>
    <x v="0"/>
    <n v="5484"/>
    <n v="4"/>
    <n v="4.4000000000000004"/>
    <n v="6"/>
    <x v="1"/>
  </r>
  <r>
    <x v="20"/>
    <s v="09/03/2025"/>
    <x v="9"/>
    <x v="12"/>
    <x v="2"/>
    <x v="5"/>
    <x v="0"/>
    <x v="1"/>
    <n v="60040"/>
    <n v="5"/>
    <n v="4.3"/>
    <n v="2"/>
    <x v="6"/>
  </r>
  <r>
    <x v="21"/>
    <s v="05/02/2025"/>
    <x v="10"/>
    <x v="13"/>
    <x v="4"/>
    <x v="2"/>
    <x v="2"/>
    <x v="0"/>
    <n v="5668"/>
    <n v="4"/>
    <n v="4.5"/>
    <n v="1"/>
    <x v="7"/>
  </r>
  <r>
    <x v="22"/>
    <s v="24/02/2025"/>
    <x v="12"/>
    <x v="14"/>
    <x v="2"/>
    <x v="3"/>
    <x v="3"/>
    <x v="2"/>
    <n v="245328"/>
    <n v="3"/>
    <n v="3.6"/>
    <n v="5"/>
    <x v="7"/>
  </r>
  <r>
    <x v="23"/>
    <s v="22/05/2025"/>
    <x v="10"/>
    <x v="15"/>
    <x v="0"/>
    <x v="1"/>
    <x v="1"/>
    <x v="2"/>
    <n v="307"/>
    <n v="1"/>
    <n v="3.5"/>
    <n v="8"/>
    <x v="0"/>
  </r>
  <r>
    <x v="24"/>
    <s v="20/12/2025"/>
    <x v="2"/>
    <x v="0"/>
    <x v="0"/>
    <x v="2"/>
    <x v="3"/>
    <x v="2"/>
    <n v="4251"/>
    <n v="3"/>
    <n v="3.5"/>
    <n v="3"/>
    <x v="8"/>
  </r>
  <r>
    <x v="25"/>
    <s v="16/12/2025"/>
    <x v="13"/>
    <x v="2"/>
    <x v="2"/>
    <x v="4"/>
    <x v="0"/>
    <x v="3"/>
    <n v="195428"/>
    <n v="4"/>
    <n v="5"/>
    <n v="3"/>
    <x v="8"/>
  </r>
  <r>
    <x v="26"/>
    <s v="20/06/2025"/>
    <x v="14"/>
    <x v="10"/>
    <x v="0"/>
    <x v="4"/>
    <x v="0"/>
    <x v="3"/>
    <n v="11697"/>
    <n v="7"/>
    <n v="3.9"/>
    <n v="1"/>
    <x v="9"/>
  </r>
  <r>
    <x v="27"/>
    <s v="27/04/2025"/>
    <x v="15"/>
    <x v="16"/>
    <x v="2"/>
    <x v="1"/>
    <x v="1"/>
    <x v="1"/>
    <n v="218908"/>
    <n v="4"/>
    <n v="4.8"/>
    <n v="5"/>
    <x v="2"/>
  </r>
  <r>
    <x v="28"/>
    <s v="14/05/2025"/>
    <x v="16"/>
    <x v="0"/>
    <x v="0"/>
    <x v="5"/>
    <x v="2"/>
    <x v="3"/>
    <n v="4467"/>
    <n v="3"/>
    <n v="4"/>
    <n v="6"/>
    <x v="0"/>
  </r>
  <r>
    <x v="29"/>
    <s v="11/05/2025"/>
    <x v="15"/>
    <x v="9"/>
    <x v="1"/>
    <x v="3"/>
    <x v="2"/>
    <x v="1"/>
    <n v="9621"/>
    <n v="1"/>
    <n v="4.4000000000000004"/>
    <n v="4"/>
    <x v="0"/>
  </r>
  <r>
    <x v="30"/>
    <s v="06/12/2025"/>
    <x v="3"/>
    <x v="6"/>
    <x v="1"/>
    <x v="5"/>
    <x v="0"/>
    <x v="0"/>
    <n v="23452"/>
    <n v="2"/>
    <n v="3.9"/>
    <n v="7"/>
    <x v="8"/>
  </r>
  <r>
    <x v="31"/>
    <s v="13/12/2025"/>
    <x v="16"/>
    <x v="11"/>
    <x v="3"/>
    <x v="5"/>
    <x v="3"/>
    <x v="3"/>
    <n v="15564"/>
    <n v="3"/>
    <n v="3.7"/>
    <n v="4"/>
    <x v="8"/>
  </r>
  <r>
    <x v="32"/>
    <s v="12/12/2025"/>
    <x v="9"/>
    <x v="11"/>
    <x v="3"/>
    <x v="4"/>
    <x v="3"/>
    <x v="0"/>
    <n v="5576"/>
    <n v="4"/>
    <n v="4.0999999999999996"/>
    <n v="6"/>
    <x v="8"/>
  </r>
  <r>
    <x v="33"/>
    <s v="13/01/2025"/>
    <x v="5"/>
    <x v="7"/>
    <x v="4"/>
    <x v="3"/>
    <x v="1"/>
    <x v="0"/>
    <n v="2196"/>
    <n v="1"/>
    <n v="3.9"/>
    <n v="4"/>
    <x v="10"/>
  </r>
  <r>
    <x v="34"/>
    <s v="24/02/2025"/>
    <x v="17"/>
    <x v="17"/>
    <x v="4"/>
    <x v="4"/>
    <x v="1"/>
    <x v="1"/>
    <n v="6790"/>
    <n v="7"/>
    <n v="4.2"/>
    <n v="2"/>
    <x v="7"/>
  </r>
  <r>
    <x v="35"/>
    <s v="08/10/2025"/>
    <x v="12"/>
    <x v="11"/>
    <x v="3"/>
    <x v="3"/>
    <x v="0"/>
    <x v="1"/>
    <n v="22584"/>
    <n v="8"/>
    <n v="4.7"/>
    <n v="5"/>
    <x v="1"/>
  </r>
  <r>
    <x v="36"/>
    <s v="27/05/2025"/>
    <x v="5"/>
    <x v="3"/>
    <x v="3"/>
    <x v="1"/>
    <x v="0"/>
    <x v="0"/>
    <n v="20496"/>
    <n v="4"/>
    <n v="3.4"/>
    <n v="4"/>
    <x v="0"/>
  </r>
  <r>
    <x v="37"/>
    <s v="28/07/2025"/>
    <x v="6"/>
    <x v="15"/>
    <x v="0"/>
    <x v="1"/>
    <x v="2"/>
    <x v="3"/>
    <n v="8466"/>
    <n v="6"/>
    <n v="4.7"/>
    <n v="7"/>
    <x v="4"/>
  </r>
  <r>
    <x v="38"/>
    <s v="30/06/2025"/>
    <x v="13"/>
    <x v="3"/>
    <x v="3"/>
    <x v="2"/>
    <x v="1"/>
    <x v="3"/>
    <n v="25865"/>
    <n v="5"/>
    <n v="4.8"/>
    <n v="8"/>
    <x v="9"/>
  </r>
  <r>
    <x v="39"/>
    <s v="22/06/2025"/>
    <x v="6"/>
    <x v="15"/>
    <x v="0"/>
    <x v="5"/>
    <x v="2"/>
    <x v="2"/>
    <n v="12481"/>
    <n v="7"/>
    <n v="4.2"/>
    <n v="7"/>
    <x v="9"/>
  </r>
  <r>
    <x v="40"/>
    <s v="25/08/2025"/>
    <x v="5"/>
    <x v="18"/>
    <x v="3"/>
    <x v="2"/>
    <x v="1"/>
    <x v="1"/>
    <n v="10143"/>
    <n v="3"/>
    <n v="4"/>
    <n v="6"/>
    <x v="3"/>
  </r>
  <r>
    <x v="41"/>
    <s v="10/01/2025"/>
    <x v="0"/>
    <x v="15"/>
    <x v="0"/>
    <x v="5"/>
    <x v="0"/>
    <x v="0"/>
    <n v="1016"/>
    <n v="1"/>
    <n v="4.9000000000000004"/>
    <n v="4"/>
    <x v="10"/>
  </r>
  <r>
    <x v="42"/>
    <s v="09/12/2025"/>
    <x v="1"/>
    <x v="5"/>
    <x v="4"/>
    <x v="2"/>
    <x v="2"/>
    <x v="2"/>
    <n v="2284"/>
    <n v="2"/>
    <n v="3.5"/>
    <n v="2"/>
    <x v="8"/>
  </r>
  <r>
    <x v="43"/>
    <s v="13/12/2025"/>
    <x v="4"/>
    <x v="19"/>
    <x v="2"/>
    <x v="0"/>
    <x v="2"/>
    <x v="1"/>
    <n v="87227"/>
    <n v="7"/>
    <n v="3.6"/>
    <n v="5"/>
    <x v="8"/>
  </r>
  <r>
    <x v="44"/>
    <s v="05/12/2025"/>
    <x v="16"/>
    <x v="8"/>
    <x v="1"/>
    <x v="2"/>
    <x v="1"/>
    <x v="0"/>
    <n v="46092"/>
    <n v="6"/>
    <n v="4.7"/>
    <n v="2"/>
    <x v="8"/>
  </r>
  <r>
    <x v="45"/>
    <s v="25/09/2025"/>
    <x v="18"/>
    <x v="18"/>
    <x v="3"/>
    <x v="4"/>
    <x v="2"/>
    <x v="1"/>
    <n v="22540"/>
    <n v="5"/>
    <n v="4.7"/>
    <n v="5"/>
    <x v="5"/>
  </r>
  <r>
    <x v="46"/>
    <s v="26/08/2025"/>
    <x v="11"/>
    <x v="18"/>
    <x v="3"/>
    <x v="2"/>
    <x v="3"/>
    <x v="1"/>
    <n v="23534"/>
    <n v="7"/>
    <n v="4.0999999999999996"/>
    <n v="6"/>
    <x v="3"/>
  </r>
  <r>
    <x v="47"/>
    <s v="22/09/2025"/>
    <x v="14"/>
    <x v="1"/>
    <x v="1"/>
    <x v="3"/>
    <x v="2"/>
    <x v="2"/>
    <n v="39584"/>
    <n v="4"/>
    <n v="4.5999999999999996"/>
    <n v="8"/>
    <x v="5"/>
  </r>
  <r>
    <x v="48"/>
    <s v="27/07/2025"/>
    <x v="15"/>
    <x v="2"/>
    <x v="2"/>
    <x v="1"/>
    <x v="1"/>
    <x v="1"/>
    <n v="258124"/>
    <n v="4"/>
    <n v="3.8"/>
    <n v="6"/>
    <x v="4"/>
  </r>
  <r>
    <x v="49"/>
    <s v="29/04/2025"/>
    <x v="19"/>
    <x v="16"/>
    <x v="2"/>
    <x v="4"/>
    <x v="1"/>
    <x v="1"/>
    <n v="87718"/>
    <n v="2"/>
    <n v="4.9000000000000004"/>
    <n v="3"/>
    <x v="2"/>
  </r>
  <r>
    <x v="50"/>
    <s v="21/02/2025"/>
    <x v="11"/>
    <x v="6"/>
    <x v="1"/>
    <x v="0"/>
    <x v="2"/>
    <x v="1"/>
    <n v="23008"/>
    <n v="4"/>
    <n v="3.2"/>
    <n v="3"/>
    <x v="7"/>
  </r>
  <r>
    <x v="51"/>
    <s v="22/02/2025"/>
    <x v="11"/>
    <x v="5"/>
    <x v="4"/>
    <x v="3"/>
    <x v="2"/>
    <x v="2"/>
    <n v="1414"/>
    <n v="1"/>
    <n v="3.8"/>
    <n v="1"/>
    <x v="7"/>
  </r>
  <r>
    <x v="52"/>
    <s v="07/02/2025"/>
    <x v="10"/>
    <x v="11"/>
    <x v="3"/>
    <x v="3"/>
    <x v="0"/>
    <x v="3"/>
    <n v="3189"/>
    <n v="1"/>
    <n v="5"/>
    <n v="2"/>
    <x v="7"/>
  </r>
  <r>
    <x v="53"/>
    <s v="02/06/2025"/>
    <x v="9"/>
    <x v="11"/>
    <x v="3"/>
    <x v="4"/>
    <x v="0"/>
    <x v="0"/>
    <n v="10584"/>
    <n v="7"/>
    <n v="4.3"/>
    <n v="5"/>
    <x v="9"/>
  </r>
  <r>
    <x v="54"/>
    <s v="22/03/2025"/>
    <x v="3"/>
    <x v="1"/>
    <x v="1"/>
    <x v="1"/>
    <x v="1"/>
    <x v="2"/>
    <n v="5571"/>
    <n v="1"/>
    <n v="3.3"/>
    <n v="5"/>
    <x v="6"/>
  </r>
  <r>
    <x v="55"/>
    <s v="17/11/2025"/>
    <x v="8"/>
    <x v="13"/>
    <x v="4"/>
    <x v="0"/>
    <x v="2"/>
    <x v="0"/>
    <n v="2880"/>
    <n v="4"/>
    <n v="3.5"/>
    <n v="5"/>
    <x v="11"/>
  </r>
  <r>
    <x v="56"/>
    <s v="19/10/2025"/>
    <x v="17"/>
    <x v="19"/>
    <x v="2"/>
    <x v="0"/>
    <x v="2"/>
    <x v="3"/>
    <n v="319665"/>
    <n v="5"/>
    <n v="4.9000000000000004"/>
    <n v="8"/>
    <x v="1"/>
  </r>
  <r>
    <x v="57"/>
    <s v="09/05/2025"/>
    <x v="6"/>
    <x v="19"/>
    <x v="2"/>
    <x v="0"/>
    <x v="0"/>
    <x v="3"/>
    <n v="77892"/>
    <n v="1"/>
    <n v="5"/>
    <n v="5"/>
    <x v="0"/>
  </r>
  <r>
    <x v="58"/>
    <s v="23/05/2025"/>
    <x v="18"/>
    <x v="8"/>
    <x v="1"/>
    <x v="1"/>
    <x v="2"/>
    <x v="0"/>
    <n v="25500"/>
    <n v="3"/>
    <n v="3.8"/>
    <n v="6"/>
    <x v="0"/>
  </r>
  <r>
    <x v="59"/>
    <s v="22/12/2025"/>
    <x v="18"/>
    <x v="12"/>
    <x v="2"/>
    <x v="0"/>
    <x v="1"/>
    <x v="2"/>
    <n v="596816"/>
    <n v="8"/>
    <n v="3.4"/>
    <n v="5"/>
    <x v="8"/>
  </r>
  <r>
    <x v="60"/>
    <s v="31/07/2025"/>
    <x v="19"/>
    <x v="8"/>
    <x v="1"/>
    <x v="2"/>
    <x v="0"/>
    <x v="1"/>
    <n v="8967"/>
    <n v="1"/>
    <n v="4.3"/>
    <n v="1"/>
    <x v="4"/>
  </r>
  <r>
    <x v="61"/>
    <s v="04/03/2025"/>
    <x v="9"/>
    <x v="11"/>
    <x v="3"/>
    <x v="4"/>
    <x v="2"/>
    <x v="3"/>
    <n v="3245"/>
    <n v="1"/>
    <n v="3.2"/>
    <n v="7"/>
    <x v="6"/>
  </r>
  <r>
    <x v="62"/>
    <s v="13/09/2025"/>
    <x v="5"/>
    <x v="10"/>
    <x v="0"/>
    <x v="4"/>
    <x v="0"/>
    <x v="2"/>
    <n v="6710"/>
    <n v="5"/>
    <n v="3.6"/>
    <n v="3"/>
    <x v="5"/>
  </r>
  <r>
    <x v="63"/>
    <s v="24/06/2025"/>
    <x v="8"/>
    <x v="12"/>
    <x v="2"/>
    <x v="3"/>
    <x v="1"/>
    <x v="1"/>
    <n v="208160"/>
    <n v="5"/>
    <n v="5"/>
    <n v="8"/>
    <x v="9"/>
  </r>
  <r>
    <x v="64"/>
    <s v="06/10/2025"/>
    <x v="2"/>
    <x v="19"/>
    <x v="2"/>
    <x v="2"/>
    <x v="1"/>
    <x v="3"/>
    <n v="190589"/>
    <n v="7"/>
    <n v="3.9"/>
    <n v="7"/>
    <x v="1"/>
  </r>
  <r>
    <x v="65"/>
    <s v="11/09/2025"/>
    <x v="7"/>
    <x v="18"/>
    <x v="3"/>
    <x v="5"/>
    <x v="1"/>
    <x v="2"/>
    <n v="3419"/>
    <n v="1"/>
    <n v="4.8"/>
    <n v="8"/>
    <x v="5"/>
  </r>
  <r>
    <x v="66"/>
    <s v="02/12/2025"/>
    <x v="18"/>
    <x v="5"/>
    <x v="4"/>
    <x v="1"/>
    <x v="1"/>
    <x v="1"/>
    <n v="6519"/>
    <n v="3"/>
    <n v="4.4000000000000004"/>
    <n v="2"/>
    <x v="8"/>
  </r>
  <r>
    <x v="67"/>
    <s v="13/11/2025"/>
    <x v="17"/>
    <x v="3"/>
    <x v="3"/>
    <x v="4"/>
    <x v="3"/>
    <x v="2"/>
    <n v="2880"/>
    <n v="2"/>
    <n v="5"/>
    <n v="2"/>
    <x v="11"/>
  </r>
  <r>
    <x v="68"/>
    <s v="29/01/2025"/>
    <x v="1"/>
    <x v="20"/>
    <x v="0"/>
    <x v="4"/>
    <x v="2"/>
    <x v="3"/>
    <n v="5170"/>
    <n v="5"/>
    <n v="4.2"/>
    <n v="3"/>
    <x v="10"/>
  </r>
  <r>
    <x v="69"/>
    <s v="12/09/2025"/>
    <x v="3"/>
    <x v="9"/>
    <x v="1"/>
    <x v="1"/>
    <x v="0"/>
    <x v="2"/>
    <n v="14949"/>
    <n v="3"/>
    <n v="4.4000000000000004"/>
    <n v="8"/>
    <x v="5"/>
  </r>
  <r>
    <x v="70"/>
    <s v="28/10/2025"/>
    <x v="14"/>
    <x v="4"/>
    <x v="3"/>
    <x v="0"/>
    <x v="0"/>
    <x v="3"/>
    <n v="22210"/>
    <n v="5"/>
    <n v="3.6"/>
    <n v="7"/>
    <x v="1"/>
  </r>
  <r>
    <x v="71"/>
    <s v="22/10/2025"/>
    <x v="4"/>
    <x v="6"/>
    <x v="1"/>
    <x v="1"/>
    <x v="1"/>
    <x v="1"/>
    <n v="26485"/>
    <n v="5"/>
    <n v="3.2"/>
    <n v="1"/>
    <x v="1"/>
  </r>
  <r>
    <x v="72"/>
    <s v="23/04/2025"/>
    <x v="3"/>
    <x v="13"/>
    <x v="4"/>
    <x v="3"/>
    <x v="2"/>
    <x v="1"/>
    <n v="5104"/>
    <n v="4"/>
    <n v="4.8"/>
    <n v="1"/>
    <x v="2"/>
  </r>
  <r>
    <x v="73"/>
    <s v="01/06/2025"/>
    <x v="12"/>
    <x v="17"/>
    <x v="4"/>
    <x v="5"/>
    <x v="3"/>
    <x v="0"/>
    <n v="5814"/>
    <n v="6"/>
    <n v="4.8"/>
    <n v="6"/>
    <x v="9"/>
  </r>
  <r>
    <x v="74"/>
    <s v="01/06/2025"/>
    <x v="10"/>
    <x v="12"/>
    <x v="2"/>
    <x v="2"/>
    <x v="2"/>
    <x v="3"/>
    <n v="74214"/>
    <n v="6"/>
    <n v="4.7"/>
    <n v="7"/>
    <x v="9"/>
  </r>
  <r>
    <x v="75"/>
    <s v="02/10/2025"/>
    <x v="7"/>
    <x v="20"/>
    <x v="0"/>
    <x v="1"/>
    <x v="0"/>
    <x v="3"/>
    <n v="2462"/>
    <n v="2"/>
    <n v="4.7"/>
    <n v="6"/>
    <x v="1"/>
  </r>
  <r>
    <x v="76"/>
    <s v="09/11/2025"/>
    <x v="2"/>
    <x v="20"/>
    <x v="0"/>
    <x v="0"/>
    <x v="3"/>
    <x v="3"/>
    <n v="6504"/>
    <n v="4"/>
    <n v="3.9"/>
    <n v="3"/>
    <x v="11"/>
  </r>
  <r>
    <x v="77"/>
    <s v="01/05/2025"/>
    <x v="16"/>
    <x v="0"/>
    <x v="0"/>
    <x v="1"/>
    <x v="2"/>
    <x v="3"/>
    <n v="3285"/>
    <n v="3"/>
    <n v="4.3"/>
    <n v="3"/>
    <x v="0"/>
  </r>
  <r>
    <x v="78"/>
    <s v="24/05/2025"/>
    <x v="7"/>
    <x v="8"/>
    <x v="1"/>
    <x v="1"/>
    <x v="3"/>
    <x v="1"/>
    <n v="8085"/>
    <n v="1"/>
    <n v="4.9000000000000004"/>
    <n v="6"/>
    <x v="0"/>
  </r>
  <r>
    <x v="79"/>
    <s v="22/05/2025"/>
    <x v="2"/>
    <x v="15"/>
    <x v="0"/>
    <x v="2"/>
    <x v="0"/>
    <x v="0"/>
    <n v="2200"/>
    <n v="4"/>
    <n v="4.4000000000000004"/>
    <n v="1"/>
    <x v="0"/>
  </r>
  <r>
    <x v="80"/>
    <s v="05/02/2025"/>
    <x v="11"/>
    <x v="9"/>
    <x v="1"/>
    <x v="4"/>
    <x v="0"/>
    <x v="1"/>
    <n v="12868"/>
    <n v="4"/>
    <n v="4.5999999999999996"/>
    <n v="1"/>
    <x v="7"/>
  </r>
  <r>
    <x v="81"/>
    <s v="05/12/2025"/>
    <x v="11"/>
    <x v="17"/>
    <x v="4"/>
    <x v="0"/>
    <x v="0"/>
    <x v="3"/>
    <n v="310"/>
    <n v="1"/>
    <n v="3.8"/>
    <n v="3"/>
    <x v="8"/>
  </r>
  <r>
    <x v="82"/>
    <s v="02/02/2025"/>
    <x v="4"/>
    <x v="1"/>
    <x v="1"/>
    <x v="0"/>
    <x v="3"/>
    <x v="3"/>
    <n v="20688"/>
    <n v="8"/>
    <n v="4"/>
    <n v="4"/>
    <x v="7"/>
  </r>
  <r>
    <x v="83"/>
    <s v="03/09/2025"/>
    <x v="4"/>
    <x v="0"/>
    <x v="0"/>
    <x v="4"/>
    <x v="2"/>
    <x v="0"/>
    <n v="8211"/>
    <n v="7"/>
    <n v="4.8"/>
    <n v="6"/>
    <x v="5"/>
  </r>
  <r>
    <x v="84"/>
    <s v="21/11/2025"/>
    <x v="7"/>
    <x v="19"/>
    <x v="2"/>
    <x v="1"/>
    <x v="0"/>
    <x v="3"/>
    <n v="246912"/>
    <n v="6"/>
    <n v="4.3"/>
    <n v="2"/>
    <x v="11"/>
  </r>
  <r>
    <x v="85"/>
    <s v="31/07/2025"/>
    <x v="15"/>
    <x v="18"/>
    <x v="3"/>
    <x v="4"/>
    <x v="1"/>
    <x v="2"/>
    <n v="8868"/>
    <n v="6"/>
    <n v="4"/>
    <n v="5"/>
    <x v="4"/>
  </r>
  <r>
    <x v="86"/>
    <s v="17/02/2025"/>
    <x v="7"/>
    <x v="0"/>
    <x v="0"/>
    <x v="3"/>
    <x v="3"/>
    <x v="3"/>
    <n v="3479"/>
    <n v="7"/>
    <n v="4.3"/>
    <n v="6"/>
    <x v="7"/>
  </r>
  <r>
    <x v="87"/>
    <s v="04/11/2025"/>
    <x v="13"/>
    <x v="20"/>
    <x v="0"/>
    <x v="0"/>
    <x v="3"/>
    <x v="1"/>
    <n v="5100"/>
    <n v="5"/>
    <n v="3.5"/>
    <n v="8"/>
    <x v="11"/>
  </r>
  <r>
    <x v="88"/>
    <s v="21/10/2025"/>
    <x v="18"/>
    <x v="20"/>
    <x v="0"/>
    <x v="2"/>
    <x v="2"/>
    <x v="0"/>
    <n v="4712"/>
    <n v="4"/>
    <n v="3.5"/>
    <n v="5"/>
    <x v="1"/>
  </r>
  <r>
    <x v="89"/>
    <s v="05/02/2025"/>
    <x v="18"/>
    <x v="5"/>
    <x v="4"/>
    <x v="4"/>
    <x v="3"/>
    <x v="1"/>
    <n v="1125"/>
    <n v="3"/>
    <n v="3.9"/>
    <n v="8"/>
    <x v="7"/>
  </r>
  <r>
    <x v="90"/>
    <s v="02/11/2025"/>
    <x v="17"/>
    <x v="19"/>
    <x v="2"/>
    <x v="1"/>
    <x v="1"/>
    <x v="3"/>
    <n v="46264"/>
    <n v="2"/>
    <n v="4.4000000000000004"/>
    <n v="5"/>
    <x v="11"/>
  </r>
  <r>
    <x v="91"/>
    <s v="01/08/2025"/>
    <x v="12"/>
    <x v="8"/>
    <x v="1"/>
    <x v="1"/>
    <x v="3"/>
    <x v="2"/>
    <n v="39215"/>
    <n v="5"/>
    <n v="3.4"/>
    <n v="8"/>
    <x v="3"/>
  </r>
  <r>
    <x v="92"/>
    <s v="03/11/2025"/>
    <x v="18"/>
    <x v="5"/>
    <x v="4"/>
    <x v="0"/>
    <x v="2"/>
    <x v="3"/>
    <n v="1087"/>
    <n v="1"/>
    <n v="4.5999999999999996"/>
    <n v="5"/>
    <x v="11"/>
  </r>
  <r>
    <x v="93"/>
    <s v="08/03/2025"/>
    <x v="5"/>
    <x v="18"/>
    <x v="3"/>
    <x v="1"/>
    <x v="2"/>
    <x v="3"/>
    <n v="36939"/>
    <n v="7"/>
    <n v="4.7"/>
    <n v="2"/>
    <x v="6"/>
  </r>
  <r>
    <x v="94"/>
    <s v="09/02/2025"/>
    <x v="5"/>
    <x v="15"/>
    <x v="0"/>
    <x v="0"/>
    <x v="3"/>
    <x v="0"/>
    <n v="8874"/>
    <n v="6"/>
    <n v="4"/>
    <n v="2"/>
    <x v="7"/>
  </r>
  <r>
    <x v="95"/>
    <s v="20/12/2025"/>
    <x v="5"/>
    <x v="8"/>
    <x v="1"/>
    <x v="2"/>
    <x v="3"/>
    <x v="0"/>
    <n v="47628"/>
    <n v="6"/>
    <n v="4.3"/>
    <n v="2"/>
    <x v="8"/>
  </r>
  <r>
    <x v="96"/>
    <s v="09/02/2025"/>
    <x v="13"/>
    <x v="2"/>
    <x v="2"/>
    <x v="0"/>
    <x v="0"/>
    <x v="1"/>
    <n v="55830"/>
    <n v="2"/>
    <n v="4.5"/>
    <n v="3"/>
    <x v="7"/>
  </r>
  <r>
    <x v="97"/>
    <s v="05/11/2025"/>
    <x v="6"/>
    <x v="7"/>
    <x v="4"/>
    <x v="1"/>
    <x v="3"/>
    <x v="1"/>
    <n v="1674"/>
    <n v="3"/>
    <n v="4"/>
    <n v="8"/>
    <x v="11"/>
  </r>
  <r>
    <x v="98"/>
    <s v="04/02/2025"/>
    <x v="3"/>
    <x v="5"/>
    <x v="4"/>
    <x v="3"/>
    <x v="1"/>
    <x v="2"/>
    <n v="11920"/>
    <n v="8"/>
    <n v="3.8"/>
    <n v="2"/>
    <x v="7"/>
  </r>
  <r>
    <x v="99"/>
    <s v="27/05/2025"/>
    <x v="17"/>
    <x v="20"/>
    <x v="0"/>
    <x v="5"/>
    <x v="0"/>
    <x v="1"/>
    <n v="3240"/>
    <n v="2"/>
    <n v="3.9"/>
    <n v="1"/>
    <x v="0"/>
  </r>
  <r>
    <x v="100"/>
    <s v="14/09/2025"/>
    <x v="2"/>
    <x v="8"/>
    <x v="1"/>
    <x v="4"/>
    <x v="1"/>
    <x v="3"/>
    <n v="6543"/>
    <n v="3"/>
    <n v="4.0999999999999996"/>
    <n v="3"/>
    <x v="5"/>
  </r>
  <r>
    <x v="101"/>
    <s v="06/07/2025"/>
    <x v="9"/>
    <x v="9"/>
    <x v="1"/>
    <x v="2"/>
    <x v="2"/>
    <x v="3"/>
    <n v="71538"/>
    <n v="6"/>
    <n v="4.3"/>
    <n v="6"/>
    <x v="4"/>
  </r>
  <r>
    <x v="102"/>
    <s v="03/12/2025"/>
    <x v="8"/>
    <x v="16"/>
    <x v="2"/>
    <x v="5"/>
    <x v="2"/>
    <x v="1"/>
    <n v="236640"/>
    <n v="3"/>
    <n v="3.8"/>
    <n v="7"/>
    <x v="8"/>
  </r>
  <r>
    <x v="103"/>
    <s v="26/11/2025"/>
    <x v="0"/>
    <x v="8"/>
    <x v="1"/>
    <x v="2"/>
    <x v="3"/>
    <x v="0"/>
    <n v="70704"/>
    <n v="6"/>
    <n v="4"/>
    <n v="6"/>
    <x v="11"/>
  </r>
  <r>
    <x v="104"/>
    <s v="06/09/2025"/>
    <x v="12"/>
    <x v="13"/>
    <x v="4"/>
    <x v="5"/>
    <x v="2"/>
    <x v="1"/>
    <n v="3252"/>
    <n v="4"/>
    <n v="4.7"/>
    <n v="2"/>
    <x v="5"/>
  </r>
  <r>
    <x v="105"/>
    <s v="02/11/2025"/>
    <x v="16"/>
    <x v="9"/>
    <x v="1"/>
    <x v="2"/>
    <x v="0"/>
    <x v="3"/>
    <n v="24584"/>
    <n v="7"/>
    <n v="4.5"/>
    <n v="1"/>
    <x v="11"/>
  </r>
  <r>
    <x v="106"/>
    <s v="18/08/2025"/>
    <x v="17"/>
    <x v="6"/>
    <x v="1"/>
    <x v="2"/>
    <x v="1"/>
    <x v="3"/>
    <n v="15912"/>
    <n v="4"/>
    <n v="3.9"/>
    <n v="8"/>
    <x v="3"/>
  </r>
  <r>
    <x v="107"/>
    <s v="06/11/2025"/>
    <x v="3"/>
    <x v="7"/>
    <x v="4"/>
    <x v="0"/>
    <x v="0"/>
    <x v="1"/>
    <n v="1389"/>
    <n v="3"/>
    <n v="4.9000000000000004"/>
    <n v="2"/>
    <x v="11"/>
  </r>
  <r>
    <x v="108"/>
    <s v="12/08/2025"/>
    <x v="13"/>
    <x v="18"/>
    <x v="3"/>
    <x v="3"/>
    <x v="2"/>
    <x v="1"/>
    <n v="1836"/>
    <n v="2"/>
    <n v="3.3"/>
    <n v="6"/>
    <x v="3"/>
  </r>
  <r>
    <x v="109"/>
    <s v="13/06/2025"/>
    <x v="8"/>
    <x v="17"/>
    <x v="4"/>
    <x v="1"/>
    <x v="1"/>
    <x v="3"/>
    <n v="3246"/>
    <n v="2"/>
    <n v="3.7"/>
    <n v="8"/>
    <x v="9"/>
  </r>
  <r>
    <x v="110"/>
    <s v="10/02/2025"/>
    <x v="3"/>
    <x v="1"/>
    <x v="1"/>
    <x v="4"/>
    <x v="3"/>
    <x v="2"/>
    <n v="10775"/>
    <n v="1"/>
    <n v="4.0999999999999996"/>
    <n v="2"/>
    <x v="7"/>
  </r>
  <r>
    <x v="111"/>
    <s v="03/08/2025"/>
    <x v="8"/>
    <x v="10"/>
    <x v="0"/>
    <x v="2"/>
    <x v="1"/>
    <x v="2"/>
    <n v="3424"/>
    <n v="8"/>
    <n v="3.2"/>
    <n v="4"/>
    <x v="3"/>
  </r>
  <r>
    <x v="112"/>
    <s v="04/05/2025"/>
    <x v="5"/>
    <x v="6"/>
    <x v="1"/>
    <x v="3"/>
    <x v="2"/>
    <x v="3"/>
    <n v="13356"/>
    <n v="7"/>
    <n v="4.9000000000000004"/>
    <n v="1"/>
    <x v="0"/>
  </r>
  <r>
    <x v="113"/>
    <s v="09/01/2025"/>
    <x v="8"/>
    <x v="16"/>
    <x v="2"/>
    <x v="0"/>
    <x v="3"/>
    <x v="1"/>
    <n v="204624"/>
    <n v="6"/>
    <n v="4.5999999999999996"/>
    <n v="6"/>
    <x v="10"/>
  </r>
  <r>
    <x v="114"/>
    <s v="23/12/2025"/>
    <x v="2"/>
    <x v="5"/>
    <x v="4"/>
    <x v="4"/>
    <x v="2"/>
    <x v="1"/>
    <n v="7968"/>
    <n v="8"/>
    <n v="3.3"/>
    <n v="4"/>
    <x v="8"/>
  </r>
  <r>
    <x v="115"/>
    <s v="23/07/2025"/>
    <x v="18"/>
    <x v="19"/>
    <x v="2"/>
    <x v="2"/>
    <x v="2"/>
    <x v="1"/>
    <n v="220384"/>
    <n v="8"/>
    <n v="4.8"/>
    <n v="1"/>
    <x v="4"/>
  </r>
  <r>
    <x v="116"/>
    <s v="14/08/2025"/>
    <x v="9"/>
    <x v="11"/>
    <x v="3"/>
    <x v="1"/>
    <x v="1"/>
    <x v="2"/>
    <n v="33425"/>
    <n v="7"/>
    <n v="4.9000000000000004"/>
    <n v="5"/>
    <x v="3"/>
  </r>
  <r>
    <x v="117"/>
    <s v="07/10/2025"/>
    <x v="4"/>
    <x v="18"/>
    <x v="3"/>
    <x v="1"/>
    <x v="1"/>
    <x v="0"/>
    <n v="16930"/>
    <n v="5"/>
    <n v="3.7"/>
    <n v="8"/>
    <x v="1"/>
  </r>
  <r>
    <x v="118"/>
    <s v="17/08/2025"/>
    <x v="9"/>
    <x v="4"/>
    <x v="3"/>
    <x v="1"/>
    <x v="1"/>
    <x v="1"/>
    <n v="4263"/>
    <n v="1"/>
    <n v="4.4000000000000004"/>
    <n v="1"/>
    <x v="3"/>
  </r>
  <r>
    <x v="119"/>
    <s v="16/01/2025"/>
    <x v="15"/>
    <x v="9"/>
    <x v="1"/>
    <x v="3"/>
    <x v="2"/>
    <x v="0"/>
    <n v="5703"/>
    <n v="3"/>
    <n v="3.6"/>
    <n v="6"/>
    <x v="10"/>
  </r>
  <r>
    <x v="120"/>
    <s v="10/07/2025"/>
    <x v="13"/>
    <x v="4"/>
    <x v="3"/>
    <x v="0"/>
    <x v="2"/>
    <x v="0"/>
    <n v="29648"/>
    <n v="8"/>
    <n v="3.8"/>
    <n v="5"/>
    <x v="4"/>
  </r>
  <r>
    <x v="121"/>
    <s v="15/10/2025"/>
    <x v="19"/>
    <x v="11"/>
    <x v="3"/>
    <x v="0"/>
    <x v="0"/>
    <x v="2"/>
    <n v="4914"/>
    <n v="2"/>
    <n v="3.7"/>
    <n v="8"/>
    <x v="1"/>
  </r>
  <r>
    <x v="122"/>
    <s v="16/08/2025"/>
    <x v="1"/>
    <x v="18"/>
    <x v="3"/>
    <x v="1"/>
    <x v="0"/>
    <x v="1"/>
    <n v="2462"/>
    <n v="2"/>
    <n v="4.2"/>
    <n v="5"/>
    <x v="3"/>
  </r>
  <r>
    <x v="123"/>
    <s v="04/03/2025"/>
    <x v="17"/>
    <x v="9"/>
    <x v="1"/>
    <x v="5"/>
    <x v="0"/>
    <x v="2"/>
    <n v="26848"/>
    <n v="4"/>
    <n v="4.2"/>
    <n v="6"/>
    <x v="6"/>
  </r>
  <r>
    <x v="124"/>
    <s v="23/07/2025"/>
    <x v="9"/>
    <x v="20"/>
    <x v="0"/>
    <x v="3"/>
    <x v="1"/>
    <x v="1"/>
    <n v="11008"/>
    <n v="8"/>
    <n v="3.4"/>
    <n v="6"/>
    <x v="4"/>
  </r>
  <r>
    <x v="125"/>
    <s v="08/03/2025"/>
    <x v="18"/>
    <x v="7"/>
    <x v="4"/>
    <x v="1"/>
    <x v="0"/>
    <x v="1"/>
    <n v="3332"/>
    <n v="7"/>
    <n v="3.7"/>
    <n v="3"/>
    <x v="6"/>
  </r>
  <r>
    <x v="126"/>
    <s v="10/02/2025"/>
    <x v="12"/>
    <x v="6"/>
    <x v="1"/>
    <x v="1"/>
    <x v="0"/>
    <x v="0"/>
    <n v="28805"/>
    <n v="5"/>
    <n v="4.3"/>
    <n v="2"/>
    <x v="7"/>
  </r>
  <r>
    <x v="127"/>
    <s v="16/10/2025"/>
    <x v="6"/>
    <x v="13"/>
    <x v="4"/>
    <x v="3"/>
    <x v="2"/>
    <x v="3"/>
    <n v="582"/>
    <n v="1"/>
    <n v="3.7"/>
    <n v="4"/>
    <x v="1"/>
  </r>
  <r>
    <x v="128"/>
    <s v="25/11/2025"/>
    <x v="1"/>
    <x v="6"/>
    <x v="1"/>
    <x v="3"/>
    <x v="1"/>
    <x v="3"/>
    <n v="41150"/>
    <n v="5"/>
    <n v="3.3"/>
    <n v="1"/>
    <x v="11"/>
  </r>
  <r>
    <x v="129"/>
    <s v="24/06/2025"/>
    <x v="18"/>
    <x v="18"/>
    <x v="3"/>
    <x v="4"/>
    <x v="1"/>
    <x v="2"/>
    <n v="11898"/>
    <n v="3"/>
    <n v="4.5999999999999996"/>
    <n v="2"/>
    <x v="9"/>
  </r>
  <r>
    <x v="130"/>
    <s v="07/05/2025"/>
    <x v="18"/>
    <x v="12"/>
    <x v="2"/>
    <x v="5"/>
    <x v="3"/>
    <x v="0"/>
    <n v="121614"/>
    <n v="3"/>
    <n v="4"/>
    <n v="3"/>
    <x v="0"/>
  </r>
  <r>
    <x v="131"/>
    <s v="21/09/2025"/>
    <x v="13"/>
    <x v="5"/>
    <x v="4"/>
    <x v="4"/>
    <x v="3"/>
    <x v="2"/>
    <n v="12104"/>
    <n v="8"/>
    <n v="4.9000000000000004"/>
    <n v="8"/>
    <x v="5"/>
  </r>
  <r>
    <x v="132"/>
    <s v="11/09/2025"/>
    <x v="15"/>
    <x v="20"/>
    <x v="0"/>
    <x v="3"/>
    <x v="3"/>
    <x v="2"/>
    <n v="7080"/>
    <n v="8"/>
    <n v="3.4"/>
    <n v="5"/>
    <x v="5"/>
  </r>
  <r>
    <x v="133"/>
    <s v="19/10/2025"/>
    <x v="4"/>
    <x v="3"/>
    <x v="3"/>
    <x v="1"/>
    <x v="2"/>
    <x v="0"/>
    <n v="15456"/>
    <n v="4"/>
    <n v="4"/>
    <n v="5"/>
    <x v="1"/>
  </r>
  <r>
    <x v="134"/>
    <s v="11/07/2025"/>
    <x v="2"/>
    <x v="15"/>
    <x v="0"/>
    <x v="0"/>
    <x v="0"/>
    <x v="1"/>
    <n v="8652"/>
    <n v="6"/>
    <n v="4.0999999999999996"/>
    <n v="1"/>
    <x v="4"/>
  </r>
  <r>
    <x v="135"/>
    <s v="18/03/2025"/>
    <x v="6"/>
    <x v="11"/>
    <x v="3"/>
    <x v="2"/>
    <x v="1"/>
    <x v="1"/>
    <n v="11757"/>
    <n v="3"/>
    <n v="4.5"/>
    <n v="5"/>
    <x v="6"/>
  </r>
  <r>
    <x v="136"/>
    <s v="08/07/2025"/>
    <x v="4"/>
    <x v="3"/>
    <x v="3"/>
    <x v="3"/>
    <x v="3"/>
    <x v="0"/>
    <n v="32886"/>
    <n v="6"/>
    <n v="4.5999999999999996"/>
    <n v="1"/>
    <x v="4"/>
  </r>
  <r>
    <x v="137"/>
    <s v="29/03/2025"/>
    <x v="18"/>
    <x v="15"/>
    <x v="0"/>
    <x v="3"/>
    <x v="0"/>
    <x v="3"/>
    <n v="4214"/>
    <n v="7"/>
    <n v="3.5"/>
    <n v="8"/>
    <x v="6"/>
  </r>
  <r>
    <x v="138"/>
    <s v="14/09/2025"/>
    <x v="12"/>
    <x v="5"/>
    <x v="4"/>
    <x v="3"/>
    <x v="3"/>
    <x v="0"/>
    <n v="4040"/>
    <n v="8"/>
    <n v="4.2"/>
    <n v="8"/>
    <x v="5"/>
  </r>
  <r>
    <x v="139"/>
    <s v="07/10/2025"/>
    <x v="10"/>
    <x v="4"/>
    <x v="3"/>
    <x v="2"/>
    <x v="0"/>
    <x v="1"/>
    <n v="27996"/>
    <n v="6"/>
    <n v="4.9000000000000004"/>
    <n v="5"/>
    <x v="1"/>
  </r>
  <r>
    <x v="140"/>
    <s v="20/12/2025"/>
    <x v="5"/>
    <x v="2"/>
    <x v="2"/>
    <x v="2"/>
    <x v="0"/>
    <x v="1"/>
    <n v="385744"/>
    <n v="8"/>
    <n v="3.7"/>
    <n v="7"/>
    <x v="8"/>
  </r>
  <r>
    <x v="141"/>
    <s v="10/02/2025"/>
    <x v="10"/>
    <x v="20"/>
    <x v="0"/>
    <x v="1"/>
    <x v="3"/>
    <x v="0"/>
    <n v="7230"/>
    <n v="6"/>
    <n v="4.7"/>
    <n v="5"/>
    <x v="7"/>
  </r>
  <r>
    <x v="142"/>
    <s v="05/05/2025"/>
    <x v="18"/>
    <x v="10"/>
    <x v="0"/>
    <x v="1"/>
    <x v="1"/>
    <x v="2"/>
    <n v="1671"/>
    <n v="1"/>
    <n v="3.3"/>
    <n v="7"/>
    <x v="0"/>
  </r>
  <r>
    <x v="143"/>
    <s v="09/10/2025"/>
    <x v="9"/>
    <x v="17"/>
    <x v="4"/>
    <x v="1"/>
    <x v="0"/>
    <x v="2"/>
    <n v="6594"/>
    <n v="3"/>
    <n v="3.8"/>
    <n v="1"/>
    <x v="1"/>
  </r>
  <r>
    <x v="144"/>
    <s v="01/04/2025"/>
    <x v="18"/>
    <x v="5"/>
    <x v="4"/>
    <x v="2"/>
    <x v="1"/>
    <x v="3"/>
    <n v="2279"/>
    <n v="1"/>
    <n v="3.2"/>
    <n v="2"/>
    <x v="2"/>
  </r>
  <r>
    <x v="145"/>
    <s v="20/05/2025"/>
    <x v="0"/>
    <x v="5"/>
    <x v="4"/>
    <x v="1"/>
    <x v="3"/>
    <x v="1"/>
    <n v="6416"/>
    <n v="4"/>
    <n v="3.7"/>
    <n v="3"/>
    <x v="0"/>
  </r>
  <r>
    <x v="146"/>
    <s v="31/03/2025"/>
    <x v="8"/>
    <x v="9"/>
    <x v="1"/>
    <x v="3"/>
    <x v="3"/>
    <x v="0"/>
    <n v="51569"/>
    <n v="7"/>
    <n v="4.4000000000000004"/>
    <n v="3"/>
    <x v="6"/>
  </r>
  <r>
    <x v="147"/>
    <s v="16/07/2025"/>
    <x v="11"/>
    <x v="20"/>
    <x v="0"/>
    <x v="1"/>
    <x v="3"/>
    <x v="0"/>
    <n v="4856"/>
    <n v="4"/>
    <n v="4.5"/>
    <n v="1"/>
    <x v="4"/>
  </r>
  <r>
    <x v="148"/>
    <s v="27/08/2025"/>
    <x v="15"/>
    <x v="0"/>
    <x v="0"/>
    <x v="5"/>
    <x v="0"/>
    <x v="0"/>
    <n v="3135"/>
    <n v="5"/>
    <n v="4.3"/>
    <n v="5"/>
    <x v="3"/>
  </r>
  <r>
    <x v="149"/>
    <s v="20/03/2025"/>
    <x v="13"/>
    <x v="5"/>
    <x v="4"/>
    <x v="1"/>
    <x v="2"/>
    <x v="3"/>
    <n v="14240"/>
    <n v="8"/>
    <n v="4.5999999999999996"/>
    <n v="4"/>
    <x v="6"/>
  </r>
  <r>
    <x v="150"/>
    <s v="09/02/2025"/>
    <x v="18"/>
    <x v="6"/>
    <x v="1"/>
    <x v="5"/>
    <x v="1"/>
    <x v="2"/>
    <n v="20366"/>
    <n v="2"/>
    <n v="4.2"/>
    <n v="3"/>
    <x v="7"/>
  </r>
  <r>
    <x v="151"/>
    <s v="16/02/2025"/>
    <x v="10"/>
    <x v="5"/>
    <x v="4"/>
    <x v="3"/>
    <x v="3"/>
    <x v="2"/>
    <n v="16856"/>
    <n v="8"/>
    <n v="4"/>
    <n v="1"/>
    <x v="7"/>
  </r>
  <r>
    <x v="152"/>
    <s v="02/01/2025"/>
    <x v="9"/>
    <x v="4"/>
    <x v="3"/>
    <x v="3"/>
    <x v="2"/>
    <x v="1"/>
    <n v="16680"/>
    <n v="4"/>
    <n v="4.5"/>
    <n v="1"/>
    <x v="10"/>
  </r>
  <r>
    <x v="153"/>
    <s v="11/03/2025"/>
    <x v="15"/>
    <x v="18"/>
    <x v="3"/>
    <x v="0"/>
    <x v="0"/>
    <x v="3"/>
    <n v="26544"/>
    <n v="7"/>
    <n v="3.3"/>
    <n v="3"/>
    <x v="6"/>
  </r>
  <r>
    <x v="154"/>
    <s v="25/04/2025"/>
    <x v="13"/>
    <x v="9"/>
    <x v="1"/>
    <x v="3"/>
    <x v="3"/>
    <x v="0"/>
    <n v="7748"/>
    <n v="1"/>
    <n v="4.2"/>
    <n v="4"/>
    <x v="2"/>
  </r>
  <r>
    <x v="155"/>
    <s v="27/02/2025"/>
    <x v="4"/>
    <x v="2"/>
    <x v="2"/>
    <x v="0"/>
    <x v="1"/>
    <x v="2"/>
    <n v="83099"/>
    <n v="1"/>
    <n v="3.6"/>
    <n v="2"/>
    <x v="7"/>
  </r>
  <r>
    <x v="156"/>
    <s v="25/07/2025"/>
    <x v="13"/>
    <x v="17"/>
    <x v="4"/>
    <x v="1"/>
    <x v="3"/>
    <x v="1"/>
    <n v="19680"/>
    <n v="8"/>
    <n v="4.0999999999999996"/>
    <n v="5"/>
    <x v="4"/>
  </r>
  <r>
    <x v="157"/>
    <s v="15/03/2025"/>
    <x v="16"/>
    <x v="13"/>
    <x v="4"/>
    <x v="5"/>
    <x v="1"/>
    <x v="2"/>
    <n v="5920"/>
    <n v="4"/>
    <n v="4.9000000000000004"/>
    <n v="3"/>
    <x v="6"/>
  </r>
  <r>
    <x v="158"/>
    <s v="26/09/2025"/>
    <x v="13"/>
    <x v="12"/>
    <x v="2"/>
    <x v="4"/>
    <x v="3"/>
    <x v="0"/>
    <n v="336066"/>
    <n v="6"/>
    <n v="3.9"/>
    <n v="8"/>
    <x v="5"/>
  </r>
  <r>
    <x v="159"/>
    <s v="15/10/2025"/>
    <x v="9"/>
    <x v="3"/>
    <x v="3"/>
    <x v="3"/>
    <x v="3"/>
    <x v="2"/>
    <n v="27167"/>
    <n v="7"/>
    <n v="3.7"/>
    <n v="6"/>
    <x v="1"/>
  </r>
  <r>
    <x v="160"/>
    <s v="27/01/2025"/>
    <x v="14"/>
    <x v="9"/>
    <x v="1"/>
    <x v="4"/>
    <x v="3"/>
    <x v="1"/>
    <n v="52130"/>
    <n v="5"/>
    <n v="4.5"/>
    <n v="4"/>
    <x v="10"/>
  </r>
  <r>
    <x v="161"/>
    <s v="08/04/2025"/>
    <x v="3"/>
    <x v="10"/>
    <x v="0"/>
    <x v="3"/>
    <x v="1"/>
    <x v="1"/>
    <n v="2560"/>
    <n v="2"/>
    <n v="4.8"/>
    <n v="6"/>
    <x v="2"/>
  </r>
  <r>
    <x v="162"/>
    <s v="04/07/2025"/>
    <x v="2"/>
    <x v="16"/>
    <x v="2"/>
    <x v="5"/>
    <x v="0"/>
    <x v="0"/>
    <n v="512296"/>
    <n v="8"/>
    <n v="3.9"/>
    <n v="7"/>
    <x v="4"/>
  </r>
  <r>
    <x v="163"/>
    <s v="11/10/2025"/>
    <x v="14"/>
    <x v="20"/>
    <x v="0"/>
    <x v="5"/>
    <x v="3"/>
    <x v="1"/>
    <n v="6328"/>
    <n v="7"/>
    <n v="3.9"/>
    <n v="4"/>
    <x v="1"/>
  </r>
  <r>
    <x v="164"/>
    <s v="24/08/2025"/>
    <x v="12"/>
    <x v="11"/>
    <x v="3"/>
    <x v="0"/>
    <x v="2"/>
    <x v="2"/>
    <n v="5538"/>
    <n v="3"/>
    <n v="4.0999999999999996"/>
    <n v="1"/>
    <x v="3"/>
  </r>
  <r>
    <x v="165"/>
    <s v="12/03/2025"/>
    <x v="4"/>
    <x v="15"/>
    <x v="0"/>
    <x v="1"/>
    <x v="1"/>
    <x v="3"/>
    <n v="1756"/>
    <n v="4"/>
    <n v="4"/>
    <n v="1"/>
    <x v="6"/>
  </r>
  <r>
    <x v="166"/>
    <s v="30/09/2025"/>
    <x v="12"/>
    <x v="0"/>
    <x v="0"/>
    <x v="1"/>
    <x v="1"/>
    <x v="0"/>
    <n v="2268"/>
    <n v="7"/>
    <n v="5"/>
    <n v="1"/>
    <x v="5"/>
  </r>
  <r>
    <x v="167"/>
    <s v="26/09/2025"/>
    <x v="5"/>
    <x v="0"/>
    <x v="0"/>
    <x v="0"/>
    <x v="3"/>
    <x v="3"/>
    <n v="2379"/>
    <n v="3"/>
    <n v="4.7"/>
    <n v="5"/>
    <x v="5"/>
  </r>
  <r>
    <x v="168"/>
    <s v="23/12/2025"/>
    <x v="2"/>
    <x v="18"/>
    <x v="3"/>
    <x v="1"/>
    <x v="2"/>
    <x v="0"/>
    <n v="5860"/>
    <n v="4"/>
    <n v="3.9"/>
    <n v="8"/>
    <x v="8"/>
  </r>
  <r>
    <x v="169"/>
    <s v="11/08/2025"/>
    <x v="11"/>
    <x v="15"/>
    <x v="0"/>
    <x v="0"/>
    <x v="2"/>
    <x v="1"/>
    <n v="8748"/>
    <n v="6"/>
    <n v="3.6"/>
    <n v="8"/>
    <x v="3"/>
  </r>
  <r>
    <x v="170"/>
    <s v="02/04/2025"/>
    <x v="1"/>
    <x v="1"/>
    <x v="1"/>
    <x v="5"/>
    <x v="0"/>
    <x v="3"/>
    <n v="43950"/>
    <n v="6"/>
    <n v="4.9000000000000004"/>
    <n v="5"/>
    <x v="2"/>
  </r>
  <r>
    <x v="171"/>
    <s v="16/07/2025"/>
    <x v="9"/>
    <x v="6"/>
    <x v="1"/>
    <x v="2"/>
    <x v="1"/>
    <x v="1"/>
    <n v="5037"/>
    <n v="3"/>
    <n v="3.4"/>
    <n v="4"/>
    <x v="4"/>
  </r>
  <r>
    <x v="172"/>
    <s v="19/08/2025"/>
    <x v="9"/>
    <x v="20"/>
    <x v="0"/>
    <x v="5"/>
    <x v="3"/>
    <x v="0"/>
    <n v="6136"/>
    <n v="8"/>
    <n v="3.5"/>
    <n v="7"/>
    <x v="3"/>
  </r>
  <r>
    <x v="173"/>
    <s v="18/05/2025"/>
    <x v="3"/>
    <x v="0"/>
    <x v="0"/>
    <x v="3"/>
    <x v="3"/>
    <x v="1"/>
    <n v="3234"/>
    <n v="3"/>
    <n v="3.4"/>
    <n v="1"/>
    <x v="0"/>
  </r>
  <r>
    <x v="174"/>
    <s v="14/02/2025"/>
    <x v="9"/>
    <x v="10"/>
    <x v="0"/>
    <x v="2"/>
    <x v="2"/>
    <x v="1"/>
    <n v="3546"/>
    <n v="3"/>
    <n v="3.9"/>
    <n v="1"/>
    <x v="7"/>
  </r>
  <r>
    <x v="175"/>
    <s v="30/05/2025"/>
    <x v="1"/>
    <x v="3"/>
    <x v="3"/>
    <x v="4"/>
    <x v="3"/>
    <x v="1"/>
    <n v="18816"/>
    <n v="7"/>
    <n v="4.0999999999999996"/>
    <n v="7"/>
    <x v="0"/>
  </r>
  <r>
    <x v="176"/>
    <s v="16/03/2025"/>
    <x v="15"/>
    <x v="12"/>
    <x v="2"/>
    <x v="2"/>
    <x v="0"/>
    <x v="3"/>
    <n v="77340"/>
    <n v="2"/>
    <n v="4.0999999999999996"/>
    <n v="2"/>
    <x v="6"/>
  </r>
  <r>
    <x v="177"/>
    <s v="23/08/2025"/>
    <x v="18"/>
    <x v="9"/>
    <x v="1"/>
    <x v="3"/>
    <x v="3"/>
    <x v="3"/>
    <n v="12486"/>
    <n v="2"/>
    <n v="4.7"/>
    <n v="7"/>
    <x v="3"/>
  </r>
  <r>
    <x v="178"/>
    <s v="03/06/2025"/>
    <x v="3"/>
    <x v="9"/>
    <x v="1"/>
    <x v="1"/>
    <x v="1"/>
    <x v="0"/>
    <n v="22260"/>
    <n v="6"/>
    <n v="4.9000000000000004"/>
    <n v="6"/>
    <x v="9"/>
  </r>
  <r>
    <x v="179"/>
    <s v="24/05/2025"/>
    <x v="10"/>
    <x v="12"/>
    <x v="2"/>
    <x v="0"/>
    <x v="1"/>
    <x v="0"/>
    <n v="534835"/>
    <n v="7"/>
    <n v="5"/>
    <n v="3"/>
    <x v="0"/>
  </r>
  <r>
    <x v="180"/>
    <s v="21/12/2025"/>
    <x v="16"/>
    <x v="4"/>
    <x v="3"/>
    <x v="3"/>
    <x v="2"/>
    <x v="3"/>
    <n v="11776"/>
    <n v="2"/>
    <n v="3.6"/>
    <n v="3"/>
    <x v="8"/>
  </r>
  <r>
    <x v="181"/>
    <s v="26/10/2025"/>
    <x v="10"/>
    <x v="8"/>
    <x v="1"/>
    <x v="5"/>
    <x v="2"/>
    <x v="2"/>
    <n v="9814"/>
    <n v="7"/>
    <n v="4.5999999999999996"/>
    <n v="6"/>
    <x v="1"/>
  </r>
  <r>
    <x v="182"/>
    <s v="27/03/2025"/>
    <x v="13"/>
    <x v="13"/>
    <x v="4"/>
    <x v="5"/>
    <x v="0"/>
    <x v="3"/>
    <n v="1886"/>
    <n v="1"/>
    <n v="3.2"/>
    <n v="5"/>
    <x v="6"/>
  </r>
  <r>
    <x v="183"/>
    <s v="26/08/2025"/>
    <x v="7"/>
    <x v="12"/>
    <x v="2"/>
    <x v="1"/>
    <x v="0"/>
    <x v="1"/>
    <n v="197331"/>
    <n v="3"/>
    <n v="3.9"/>
    <n v="2"/>
    <x v="3"/>
  </r>
  <r>
    <x v="184"/>
    <s v="22/08/2025"/>
    <x v="18"/>
    <x v="16"/>
    <x v="2"/>
    <x v="0"/>
    <x v="3"/>
    <x v="2"/>
    <n v="192608"/>
    <n v="4"/>
    <n v="4"/>
    <n v="8"/>
    <x v="3"/>
  </r>
  <r>
    <x v="185"/>
    <s v="25/06/2025"/>
    <x v="10"/>
    <x v="0"/>
    <x v="0"/>
    <x v="3"/>
    <x v="1"/>
    <x v="0"/>
    <n v="3372"/>
    <n v="2"/>
    <n v="4.2"/>
    <n v="6"/>
    <x v="9"/>
  </r>
  <r>
    <x v="186"/>
    <s v="06/04/2025"/>
    <x v="0"/>
    <x v="18"/>
    <x v="3"/>
    <x v="1"/>
    <x v="0"/>
    <x v="0"/>
    <n v="16212"/>
    <n v="7"/>
    <n v="4.3"/>
    <n v="7"/>
    <x v="2"/>
  </r>
  <r>
    <x v="187"/>
    <s v="23/10/2025"/>
    <x v="14"/>
    <x v="14"/>
    <x v="2"/>
    <x v="5"/>
    <x v="3"/>
    <x v="3"/>
    <n v="100890"/>
    <n v="2"/>
    <n v="4"/>
    <n v="5"/>
    <x v="1"/>
  </r>
  <r>
    <x v="188"/>
    <s v="28/10/2025"/>
    <x v="4"/>
    <x v="8"/>
    <x v="1"/>
    <x v="5"/>
    <x v="2"/>
    <x v="0"/>
    <n v="7252"/>
    <n v="2"/>
    <n v="4.7"/>
    <n v="5"/>
    <x v="1"/>
  </r>
  <r>
    <x v="189"/>
    <s v="03/05/2025"/>
    <x v="6"/>
    <x v="14"/>
    <x v="2"/>
    <x v="3"/>
    <x v="1"/>
    <x v="0"/>
    <n v="257145"/>
    <n v="5"/>
    <n v="3.9"/>
    <n v="3"/>
    <x v="0"/>
  </r>
  <r>
    <x v="190"/>
    <s v="12/10/2025"/>
    <x v="15"/>
    <x v="18"/>
    <x v="3"/>
    <x v="0"/>
    <x v="1"/>
    <x v="0"/>
    <n v="6696"/>
    <n v="3"/>
    <n v="4.7"/>
    <n v="1"/>
    <x v="1"/>
  </r>
  <r>
    <x v="191"/>
    <s v="15/10/2025"/>
    <x v="13"/>
    <x v="5"/>
    <x v="4"/>
    <x v="2"/>
    <x v="2"/>
    <x v="1"/>
    <n v="18112"/>
    <n v="8"/>
    <n v="3.5"/>
    <n v="1"/>
    <x v="1"/>
  </r>
  <r>
    <x v="192"/>
    <s v="28/03/2025"/>
    <x v="10"/>
    <x v="13"/>
    <x v="4"/>
    <x v="2"/>
    <x v="2"/>
    <x v="3"/>
    <n v="18224"/>
    <n v="8"/>
    <n v="4.2"/>
    <n v="5"/>
    <x v="6"/>
  </r>
  <r>
    <x v="193"/>
    <s v="06/08/2025"/>
    <x v="17"/>
    <x v="9"/>
    <x v="1"/>
    <x v="0"/>
    <x v="0"/>
    <x v="0"/>
    <n v="16336"/>
    <n v="2"/>
    <n v="3.7"/>
    <n v="2"/>
    <x v="3"/>
  </r>
  <r>
    <x v="194"/>
    <s v="30/12/2025"/>
    <x v="4"/>
    <x v="6"/>
    <x v="1"/>
    <x v="5"/>
    <x v="0"/>
    <x v="1"/>
    <n v="12404"/>
    <n v="7"/>
    <n v="4.2"/>
    <n v="5"/>
    <x v="8"/>
  </r>
  <r>
    <x v="195"/>
    <s v="21/10/2025"/>
    <x v="8"/>
    <x v="16"/>
    <x v="2"/>
    <x v="4"/>
    <x v="0"/>
    <x v="1"/>
    <n v="101355"/>
    <n v="5"/>
    <n v="5"/>
    <n v="3"/>
    <x v="1"/>
  </r>
  <r>
    <x v="196"/>
    <s v="08/09/2025"/>
    <x v="5"/>
    <x v="5"/>
    <x v="4"/>
    <x v="5"/>
    <x v="3"/>
    <x v="1"/>
    <n v="4050"/>
    <n v="3"/>
    <n v="4"/>
    <n v="2"/>
    <x v="5"/>
  </r>
  <r>
    <x v="197"/>
    <s v="17/06/2025"/>
    <x v="10"/>
    <x v="11"/>
    <x v="3"/>
    <x v="3"/>
    <x v="0"/>
    <x v="3"/>
    <n v="5900"/>
    <n v="1"/>
    <n v="4.5"/>
    <n v="2"/>
    <x v="9"/>
  </r>
  <r>
    <x v="198"/>
    <s v="18/05/2025"/>
    <x v="18"/>
    <x v="5"/>
    <x v="4"/>
    <x v="1"/>
    <x v="2"/>
    <x v="2"/>
    <n v="9798"/>
    <n v="6"/>
    <n v="4.2"/>
    <n v="8"/>
    <x v="0"/>
  </r>
  <r>
    <x v="199"/>
    <s v="09/01/2025"/>
    <x v="3"/>
    <x v="15"/>
    <x v="0"/>
    <x v="4"/>
    <x v="3"/>
    <x v="2"/>
    <n v="1246"/>
    <n v="2"/>
    <n v="3.6"/>
    <n v="3"/>
    <x v="10"/>
  </r>
  <r>
    <x v="200"/>
    <s v="12/02/2025"/>
    <x v="16"/>
    <x v="16"/>
    <x v="2"/>
    <x v="1"/>
    <x v="2"/>
    <x v="2"/>
    <n v="55722"/>
    <n v="6"/>
    <n v="3.7"/>
    <n v="4"/>
    <x v="7"/>
  </r>
  <r>
    <x v="201"/>
    <s v="02/09/2025"/>
    <x v="7"/>
    <x v="10"/>
    <x v="0"/>
    <x v="3"/>
    <x v="0"/>
    <x v="3"/>
    <n v="1142"/>
    <n v="2"/>
    <n v="3.2"/>
    <n v="6"/>
    <x v="5"/>
  </r>
  <r>
    <x v="202"/>
    <s v="16/07/2025"/>
    <x v="5"/>
    <x v="10"/>
    <x v="0"/>
    <x v="4"/>
    <x v="0"/>
    <x v="2"/>
    <n v="3592"/>
    <n v="2"/>
    <n v="4.8"/>
    <n v="3"/>
    <x v="4"/>
  </r>
  <r>
    <x v="203"/>
    <s v="09/11/2025"/>
    <x v="19"/>
    <x v="1"/>
    <x v="1"/>
    <x v="0"/>
    <x v="2"/>
    <x v="0"/>
    <n v="9840"/>
    <n v="3"/>
    <n v="4.9000000000000004"/>
    <n v="8"/>
    <x v="11"/>
  </r>
  <r>
    <x v="204"/>
    <s v="29/06/2025"/>
    <x v="0"/>
    <x v="15"/>
    <x v="0"/>
    <x v="1"/>
    <x v="3"/>
    <x v="0"/>
    <n v="6608"/>
    <n v="7"/>
    <n v="3.4"/>
    <n v="5"/>
    <x v="9"/>
  </r>
  <r>
    <x v="205"/>
    <s v="20/07/2025"/>
    <x v="4"/>
    <x v="9"/>
    <x v="1"/>
    <x v="0"/>
    <x v="2"/>
    <x v="1"/>
    <n v="35610"/>
    <n v="5"/>
    <n v="3.4"/>
    <n v="8"/>
    <x v="4"/>
  </r>
  <r>
    <x v="206"/>
    <s v="18/07/2025"/>
    <x v="0"/>
    <x v="2"/>
    <x v="2"/>
    <x v="2"/>
    <x v="0"/>
    <x v="2"/>
    <n v="176015"/>
    <n v="7"/>
    <n v="3.2"/>
    <n v="2"/>
    <x v="4"/>
  </r>
  <r>
    <x v="207"/>
    <s v="17/09/2025"/>
    <x v="11"/>
    <x v="15"/>
    <x v="0"/>
    <x v="0"/>
    <x v="3"/>
    <x v="2"/>
    <n v="7935"/>
    <n v="5"/>
    <n v="3.3"/>
    <n v="3"/>
    <x v="5"/>
  </r>
  <r>
    <x v="208"/>
    <s v="21/03/2025"/>
    <x v="16"/>
    <x v="9"/>
    <x v="1"/>
    <x v="0"/>
    <x v="1"/>
    <x v="2"/>
    <n v="28254"/>
    <n v="6"/>
    <n v="3.3"/>
    <n v="2"/>
    <x v="6"/>
  </r>
  <r>
    <x v="209"/>
    <s v="03/03/2025"/>
    <x v="1"/>
    <x v="2"/>
    <x v="2"/>
    <x v="2"/>
    <x v="0"/>
    <x v="1"/>
    <n v="3987"/>
    <n v="1"/>
    <n v="4.9000000000000004"/>
    <n v="5"/>
    <x v="6"/>
  </r>
  <r>
    <x v="210"/>
    <s v="21/06/2025"/>
    <x v="17"/>
    <x v="0"/>
    <x v="0"/>
    <x v="5"/>
    <x v="3"/>
    <x v="2"/>
    <n v="5999"/>
    <n v="7"/>
    <n v="4.3"/>
    <n v="8"/>
    <x v="9"/>
  </r>
  <r>
    <x v="211"/>
    <s v="08/07/2025"/>
    <x v="2"/>
    <x v="18"/>
    <x v="3"/>
    <x v="0"/>
    <x v="0"/>
    <x v="2"/>
    <n v="4932"/>
    <n v="3"/>
    <n v="4.5"/>
    <n v="1"/>
    <x v="4"/>
  </r>
  <r>
    <x v="212"/>
    <s v="16/07/2025"/>
    <x v="18"/>
    <x v="4"/>
    <x v="3"/>
    <x v="2"/>
    <x v="2"/>
    <x v="1"/>
    <n v="12405"/>
    <n v="3"/>
    <n v="3.8"/>
    <n v="7"/>
    <x v="4"/>
  </r>
  <r>
    <x v="213"/>
    <s v="02/04/2025"/>
    <x v="18"/>
    <x v="0"/>
    <x v="0"/>
    <x v="0"/>
    <x v="1"/>
    <x v="2"/>
    <n v="5424"/>
    <n v="4"/>
    <n v="4.8"/>
    <n v="5"/>
    <x v="2"/>
  </r>
  <r>
    <x v="214"/>
    <s v="30/05/2025"/>
    <x v="10"/>
    <x v="2"/>
    <x v="2"/>
    <x v="4"/>
    <x v="0"/>
    <x v="2"/>
    <n v="316535"/>
    <n v="5"/>
    <n v="4.9000000000000004"/>
    <n v="4"/>
    <x v="0"/>
  </r>
  <r>
    <x v="215"/>
    <s v="30/04/2025"/>
    <x v="7"/>
    <x v="3"/>
    <x v="3"/>
    <x v="4"/>
    <x v="0"/>
    <x v="3"/>
    <n v="4266"/>
    <n v="6"/>
    <n v="3.9"/>
    <n v="5"/>
    <x v="2"/>
  </r>
  <r>
    <x v="216"/>
    <s v="14/03/2025"/>
    <x v="17"/>
    <x v="3"/>
    <x v="3"/>
    <x v="1"/>
    <x v="2"/>
    <x v="2"/>
    <n v="24785"/>
    <n v="5"/>
    <n v="4.5"/>
    <n v="6"/>
    <x v="6"/>
  </r>
  <r>
    <x v="217"/>
    <s v="23/11/2025"/>
    <x v="5"/>
    <x v="9"/>
    <x v="1"/>
    <x v="1"/>
    <x v="3"/>
    <x v="1"/>
    <n v="32753"/>
    <n v="7"/>
    <n v="3.7"/>
    <n v="6"/>
    <x v="11"/>
  </r>
  <r>
    <x v="218"/>
    <s v="30/04/2025"/>
    <x v="17"/>
    <x v="4"/>
    <x v="3"/>
    <x v="2"/>
    <x v="1"/>
    <x v="2"/>
    <n v="3184"/>
    <n v="2"/>
    <n v="3.4"/>
    <n v="8"/>
    <x v="2"/>
  </r>
  <r>
    <x v="219"/>
    <s v="17/04/2025"/>
    <x v="4"/>
    <x v="6"/>
    <x v="1"/>
    <x v="0"/>
    <x v="0"/>
    <x v="1"/>
    <n v="18248"/>
    <n v="8"/>
    <n v="3.5"/>
    <n v="5"/>
    <x v="2"/>
  </r>
  <r>
    <x v="220"/>
    <s v="31/12/2025"/>
    <x v="0"/>
    <x v="17"/>
    <x v="4"/>
    <x v="3"/>
    <x v="1"/>
    <x v="0"/>
    <n v="7492"/>
    <n v="4"/>
    <n v="3.7"/>
    <n v="3"/>
    <x v="8"/>
  </r>
  <r>
    <x v="221"/>
    <s v="22/02/2025"/>
    <x v="15"/>
    <x v="15"/>
    <x v="0"/>
    <x v="1"/>
    <x v="2"/>
    <x v="1"/>
    <n v="1644"/>
    <n v="3"/>
    <n v="3.6"/>
    <n v="7"/>
    <x v="7"/>
  </r>
  <r>
    <x v="222"/>
    <s v="03/02/2025"/>
    <x v="2"/>
    <x v="0"/>
    <x v="0"/>
    <x v="4"/>
    <x v="1"/>
    <x v="3"/>
    <n v="6488"/>
    <n v="4"/>
    <n v="3.4"/>
    <n v="8"/>
    <x v="7"/>
  </r>
  <r>
    <x v="223"/>
    <s v="15/07/2025"/>
    <x v="2"/>
    <x v="3"/>
    <x v="3"/>
    <x v="5"/>
    <x v="0"/>
    <x v="1"/>
    <n v="15631"/>
    <n v="7"/>
    <n v="3.7"/>
    <n v="3"/>
    <x v="4"/>
  </r>
  <r>
    <x v="224"/>
    <s v="09/10/2025"/>
    <x v="10"/>
    <x v="11"/>
    <x v="3"/>
    <x v="0"/>
    <x v="1"/>
    <x v="1"/>
    <n v="30696"/>
    <n v="8"/>
    <n v="4"/>
    <n v="4"/>
    <x v="1"/>
  </r>
  <r>
    <x v="225"/>
    <s v="26/06/2025"/>
    <x v="11"/>
    <x v="11"/>
    <x v="3"/>
    <x v="0"/>
    <x v="1"/>
    <x v="1"/>
    <n v="5478"/>
    <n v="6"/>
    <n v="4.3"/>
    <n v="1"/>
    <x v="9"/>
  </r>
  <r>
    <x v="226"/>
    <s v="23/03/2025"/>
    <x v="6"/>
    <x v="9"/>
    <x v="1"/>
    <x v="3"/>
    <x v="3"/>
    <x v="0"/>
    <n v="3432"/>
    <n v="2"/>
    <n v="4.5999999999999996"/>
    <n v="4"/>
    <x v="6"/>
  </r>
  <r>
    <x v="227"/>
    <s v="31/10/2025"/>
    <x v="6"/>
    <x v="7"/>
    <x v="4"/>
    <x v="4"/>
    <x v="1"/>
    <x v="1"/>
    <n v="10314"/>
    <n v="6"/>
    <n v="4.9000000000000004"/>
    <n v="3"/>
    <x v="1"/>
  </r>
  <r>
    <x v="228"/>
    <s v="20/01/2025"/>
    <x v="18"/>
    <x v="5"/>
    <x v="4"/>
    <x v="5"/>
    <x v="0"/>
    <x v="0"/>
    <n v="2404"/>
    <n v="2"/>
    <n v="4.0999999999999996"/>
    <n v="1"/>
    <x v="10"/>
  </r>
  <r>
    <x v="229"/>
    <s v="15/06/2025"/>
    <x v="9"/>
    <x v="2"/>
    <x v="2"/>
    <x v="2"/>
    <x v="1"/>
    <x v="2"/>
    <n v="79388"/>
    <n v="1"/>
    <n v="4.7"/>
    <n v="6"/>
    <x v="9"/>
  </r>
  <r>
    <x v="230"/>
    <s v="15/06/2025"/>
    <x v="13"/>
    <x v="16"/>
    <x v="2"/>
    <x v="1"/>
    <x v="0"/>
    <x v="3"/>
    <n v="199074"/>
    <n v="3"/>
    <n v="4.5"/>
    <n v="6"/>
    <x v="9"/>
  </r>
  <r>
    <x v="231"/>
    <s v="07/03/2025"/>
    <x v="4"/>
    <x v="16"/>
    <x v="2"/>
    <x v="4"/>
    <x v="2"/>
    <x v="3"/>
    <n v="232746"/>
    <n v="3"/>
    <n v="3.3"/>
    <n v="6"/>
    <x v="6"/>
  </r>
  <r>
    <x v="232"/>
    <s v="09/02/2025"/>
    <x v="17"/>
    <x v="13"/>
    <x v="4"/>
    <x v="0"/>
    <x v="3"/>
    <x v="0"/>
    <n v="6232"/>
    <n v="4"/>
    <n v="4.7"/>
    <n v="6"/>
    <x v="7"/>
  </r>
  <r>
    <x v="233"/>
    <s v="29/06/2025"/>
    <x v="16"/>
    <x v="17"/>
    <x v="4"/>
    <x v="3"/>
    <x v="1"/>
    <x v="1"/>
    <n v="1275"/>
    <n v="5"/>
    <n v="4.5"/>
    <n v="3"/>
    <x v="9"/>
  </r>
  <r>
    <x v="234"/>
    <s v="21/02/2025"/>
    <x v="3"/>
    <x v="8"/>
    <x v="1"/>
    <x v="0"/>
    <x v="3"/>
    <x v="1"/>
    <n v="16056"/>
    <n v="8"/>
    <n v="4.5999999999999996"/>
    <n v="1"/>
    <x v="7"/>
  </r>
  <r>
    <x v="235"/>
    <s v="25/06/2025"/>
    <x v="0"/>
    <x v="0"/>
    <x v="0"/>
    <x v="3"/>
    <x v="0"/>
    <x v="3"/>
    <n v="3204"/>
    <n v="3"/>
    <n v="3.8"/>
    <n v="8"/>
    <x v="9"/>
  </r>
  <r>
    <x v="236"/>
    <s v="21/02/2025"/>
    <x v="3"/>
    <x v="17"/>
    <x v="4"/>
    <x v="4"/>
    <x v="2"/>
    <x v="2"/>
    <n v="6168"/>
    <n v="6"/>
    <n v="3.7"/>
    <n v="5"/>
    <x v="7"/>
  </r>
  <r>
    <x v="237"/>
    <s v="20/03/2025"/>
    <x v="19"/>
    <x v="11"/>
    <x v="3"/>
    <x v="0"/>
    <x v="2"/>
    <x v="0"/>
    <n v="1417"/>
    <n v="1"/>
    <n v="4.7"/>
    <n v="8"/>
    <x v="6"/>
  </r>
  <r>
    <x v="238"/>
    <s v="11/02/2025"/>
    <x v="9"/>
    <x v="13"/>
    <x v="4"/>
    <x v="1"/>
    <x v="1"/>
    <x v="0"/>
    <n v="12104"/>
    <n v="8"/>
    <n v="4.8"/>
    <n v="5"/>
    <x v="7"/>
  </r>
  <r>
    <x v="239"/>
    <s v="09/07/2025"/>
    <x v="6"/>
    <x v="12"/>
    <x v="2"/>
    <x v="0"/>
    <x v="0"/>
    <x v="2"/>
    <n v="111030"/>
    <n v="3"/>
    <n v="3.7"/>
    <n v="5"/>
    <x v="4"/>
  </r>
  <r>
    <x v="240"/>
    <s v="05/10/2025"/>
    <x v="10"/>
    <x v="20"/>
    <x v="0"/>
    <x v="1"/>
    <x v="1"/>
    <x v="0"/>
    <n v="10549"/>
    <n v="7"/>
    <n v="4.7"/>
    <n v="7"/>
    <x v="1"/>
  </r>
  <r>
    <x v="241"/>
    <s v="10/02/2025"/>
    <x v="7"/>
    <x v="4"/>
    <x v="3"/>
    <x v="3"/>
    <x v="0"/>
    <x v="0"/>
    <n v="37653"/>
    <n v="7"/>
    <n v="4.5999999999999996"/>
    <n v="3"/>
    <x v="7"/>
  </r>
  <r>
    <x v="242"/>
    <s v="06/03/2025"/>
    <x v="18"/>
    <x v="7"/>
    <x v="4"/>
    <x v="1"/>
    <x v="2"/>
    <x v="2"/>
    <n v="570"/>
    <n v="1"/>
    <n v="3.5"/>
    <n v="5"/>
    <x v="6"/>
  </r>
  <r>
    <x v="243"/>
    <s v="10/10/2025"/>
    <x v="7"/>
    <x v="11"/>
    <x v="3"/>
    <x v="3"/>
    <x v="0"/>
    <x v="0"/>
    <n v="4806"/>
    <n v="6"/>
    <n v="4.3"/>
    <n v="7"/>
    <x v="1"/>
  </r>
  <r>
    <x v="244"/>
    <s v="24/02/2025"/>
    <x v="6"/>
    <x v="1"/>
    <x v="1"/>
    <x v="5"/>
    <x v="1"/>
    <x v="2"/>
    <n v="10254"/>
    <n v="2"/>
    <n v="3.9"/>
    <n v="8"/>
    <x v="7"/>
  </r>
  <r>
    <x v="245"/>
    <s v="26/07/2025"/>
    <x v="14"/>
    <x v="13"/>
    <x v="4"/>
    <x v="2"/>
    <x v="3"/>
    <x v="2"/>
    <n v="5685"/>
    <n v="3"/>
    <n v="4.4000000000000004"/>
    <n v="1"/>
    <x v="4"/>
  </r>
  <r>
    <x v="246"/>
    <s v="09/06/2025"/>
    <x v="18"/>
    <x v="16"/>
    <x v="2"/>
    <x v="2"/>
    <x v="1"/>
    <x v="2"/>
    <n v="161890"/>
    <n v="5"/>
    <n v="5"/>
    <n v="8"/>
    <x v="9"/>
  </r>
  <r>
    <x v="247"/>
    <s v="19/04/2025"/>
    <x v="3"/>
    <x v="5"/>
    <x v="4"/>
    <x v="1"/>
    <x v="1"/>
    <x v="0"/>
    <n v="16555"/>
    <n v="7"/>
    <n v="4.5999999999999996"/>
    <n v="2"/>
    <x v="2"/>
  </r>
  <r>
    <x v="248"/>
    <s v="30/03/2025"/>
    <x v="19"/>
    <x v="1"/>
    <x v="1"/>
    <x v="2"/>
    <x v="3"/>
    <x v="3"/>
    <n v="33112"/>
    <n v="4"/>
    <n v="3.3"/>
    <n v="6"/>
    <x v="6"/>
  </r>
  <r>
    <x v="249"/>
    <s v="22/11/2025"/>
    <x v="14"/>
    <x v="8"/>
    <x v="1"/>
    <x v="5"/>
    <x v="3"/>
    <x v="1"/>
    <n v="17616"/>
    <n v="2"/>
    <n v="4.3"/>
    <n v="3"/>
    <x v="11"/>
  </r>
  <r>
    <x v="250"/>
    <s v="19/12/2025"/>
    <x v="13"/>
    <x v="13"/>
    <x v="4"/>
    <x v="1"/>
    <x v="0"/>
    <x v="0"/>
    <n v="724"/>
    <n v="2"/>
    <n v="4.7"/>
    <n v="4"/>
    <x v="8"/>
  </r>
  <r>
    <x v="251"/>
    <s v="20/09/2025"/>
    <x v="13"/>
    <x v="12"/>
    <x v="2"/>
    <x v="2"/>
    <x v="3"/>
    <x v="1"/>
    <n v="64640"/>
    <n v="1"/>
    <n v="3.5"/>
    <n v="1"/>
    <x v="5"/>
  </r>
  <r>
    <x v="252"/>
    <s v="28/06/2025"/>
    <x v="6"/>
    <x v="11"/>
    <x v="3"/>
    <x v="0"/>
    <x v="2"/>
    <x v="1"/>
    <n v="25400"/>
    <n v="8"/>
    <n v="4.0999999999999996"/>
    <n v="7"/>
    <x v="9"/>
  </r>
  <r>
    <x v="253"/>
    <s v="02/06/2025"/>
    <x v="11"/>
    <x v="6"/>
    <x v="1"/>
    <x v="1"/>
    <x v="3"/>
    <x v="0"/>
    <n v="22590"/>
    <n v="2"/>
    <n v="3.8"/>
    <n v="5"/>
    <x v="9"/>
  </r>
  <r>
    <x v="254"/>
    <s v="30/01/2025"/>
    <x v="11"/>
    <x v="7"/>
    <x v="4"/>
    <x v="3"/>
    <x v="1"/>
    <x v="3"/>
    <n v="10913"/>
    <n v="7"/>
    <n v="4.0999999999999996"/>
    <n v="5"/>
    <x v="10"/>
  </r>
  <r>
    <x v="255"/>
    <s v="25/06/2025"/>
    <x v="10"/>
    <x v="10"/>
    <x v="0"/>
    <x v="4"/>
    <x v="3"/>
    <x v="2"/>
    <n v="6820"/>
    <n v="4"/>
    <n v="3.7"/>
    <n v="3"/>
    <x v="9"/>
  </r>
  <r>
    <x v="256"/>
    <s v="13/05/2025"/>
    <x v="16"/>
    <x v="18"/>
    <x v="3"/>
    <x v="2"/>
    <x v="3"/>
    <x v="1"/>
    <n v="7560"/>
    <n v="3"/>
    <n v="3.6"/>
    <n v="5"/>
    <x v="0"/>
  </r>
  <r>
    <x v="257"/>
    <s v="26/08/2025"/>
    <x v="12"/>
    <x v="6"/>
    <x v="1"/>
    <x v="0"/>
    <x v="1"/>
    <x v="1"/>
    <n v="21936"/>
    <n v="2"/>
    <n v="3.3"/>
    <n v="4"/>
    <x v="3"/>
  </r>
  <r>
    <x v="258"/>
    <s v="19/03/2025"/>
    <x v="9"/>
    <x v="3"/>
    <x v="3"/>
    <x v="3"/>
    <x v="3"/>
    <x v="0"/>
    <n v="16092"/>
    <n v="3"/>
    <n v="3.5"/>
    <n v="3"/>
    <x v="6"/>
  </r>
  <r>
    <x v="259"/>
    <s v="03/01/2025"/>
    <x v="8"/>
    <x v="14"/>
    <x v="2"/>
    <x v="5"/>
    <x v="1"/>
    <x v="3"/>
    <n v="196792"/>
    <n v="8"/>
    <n v="4.0999999999999996"/>
    <n v="2"/>
    <x v="10"/>
  </r>
  <r>
    <x v="260"/>
    <s v="02/09/2025"/>
    <x v="12"/>
    <x v="11"/>
    <x v="3"/>
    <x v="4"/>
    <x v="2"/>
    <x v="2"/>
    <n v="16331"/>
    <n v="7"/>
    <n v="4.9000000000000004"/>
    <n v="6"/>
    <x v="5"/>
  </r>
  <r>
    <x v="261"/>
    <s v="22/12/2025"/>
    <x v="9"/>
    <x v="7"/>
    <x v="4"/>
    <x v="0"/>
    <x v="3"/>
    <x v="1"/>
    <n v="4668"/>
    <n v="6"/>
    <n v="4.3"/>
    <n v="3"/>
    <x v="8"/>
  </r>
  <r>
    <x v="262"/>
    <s v="11/08/2025"/>
    <x v="0"/>
    <x v="4"/>
    <x v="3"/>
    <x v="4"/>
    <x v="0"/>
    <x v="0"/>
    <n v="6729"/>
    <n v="3"/>
    <n v="4.9000000000000004"/>
    <n v="7"/>
    <x v="3"/>
  </r>
  <r>
    <x v="263"/>
    <s v="29/10/2025"/>
    <x v="4"/>
    <x v="17"/>
    <x v="4"/>
    <x v="0"/>
    <x v="2"/>
    <x v="2"/>
    <n v="5253"/>
    <n v="3"/>
    <n v="3.7"/>
    <n v="1"/>
    <x v="1"/>
  </r>
  <r>
    <x v="264"/>
    <s v="02/08/2025"/>
    <x v="0"/>
    <x v="0"/>
    <x v="0"/>
    <x v="2"/>
    <x v="1"/>
    <x v="2"/>
    <n v="8624"/>
    <n v="8"/>
    <n v="4.5"/>
    <n v="4"/>
    <x v="3"/>
  </r>
  <r>
    <x v="265"/>
    <s v="15/11/2025"/>
    <x v="14"/>
    <x v="6"/>
    <x v="1"/>
    <x v="4"/>
    <x v="0"/>
    <x v="1"/>
    <n v="8184"/>
    <n v="3"/>
    <n v="3.7"/>
    <n v="2"/>
    <x v="11"/>
  </r>
  <r>
    <x v="266"/>
    <s v="03/07/2025"/>
    <x v="18"/>
    <x v="9"/>
    <x v="1"/>
    <x v="4"/>
    <x v="2"/>
    <x v="2"/>
    <n v="62524"/>
    <n v="7"/>
    <n v="4.8"/>
    <n v="8"/>
    <x v="4"/>
  </r>
  <r>
    <x v="267"/>
    <s v="21/10/2025"/>
    <x v="17"/>
    <x v="0"/>
    <x v="0"/>
    <x v="2"/>
    <x v="3"/>
    <x v="3"/>
    <n v="4840"/>
    <n v="8"/>
    <n v="4.8"/>
    <n v="4"/>
    <x v="1"/>
  </r>
  <r>
    <x v="268"/>
    <s v="31/03/2025"/>
    <x v="0"/>
    <x v="0"/>
    <x v="0"/>
    <x v="4"/>
    <x v="0"/>
    <x v="1"/>
    <n v="895"/>
    <n v="1"/>
    <n v="3.4"/>
    <n v="1"/>
    <x v="6"/>
  </r>
  <r>
    <x v="269"/>
    <s v="15/11/2025"/>
    <x v="11"/>
    <x v="12"/>
    <x v="2"/>
    <x v="3"/>
    <x v="1"/>
    <x v="3"/>
    <n v="237105"/>
    <n v="5"/>
    <n v="3.9"/>
    <n v="8"/>
    <x v="11"/>
  </r>
  <r>
    <x v="270"/>
    <s v="09/03/2025"/>
    <x v="1"/>
    <x v="17"/>
    <x v="4"/>
    <x v="5"/>
    <x v="1"/>
    <x v="1"/>
    <n v="674"/>
    <n v="1"/>
    <n v="4.5999999999999996"/>
    <n v="8"/>
    <x v="6"/>
  </r>
  <r>
    <x v="271"/>
    <s v="17/12/2025"/>
    <x v="18"/>
    <x v="1"/>
    <x v="1"/>
    <x v="0"/>
    <x v="0"/>
    <x v="1"/>
    <n v="24060"/>
    <n v="3"/>
    <n v="3.3"/>
    <n v="5"/>
    <x v="8"/>
  </r>
  <r>
    <x v="272"/>
    <s v="10/08/2025"/>
    <x v="0"/>
    <x v="1"/>
    <x v="1"/>
    <x v="1"/>
    <x v="0"/>
    <x v="3"/>
    <n v="39788"/>
    <n v="4"/>
    <n v="4.8"/>
    <n v="1"/>
    <x v="3"/>
  </r>
  <r>
    <x v="273"/>
    <s v="08/02/2025"/>
    <x v="5"/>
    <x v="18"/>
    <x v="3"/>
    <x v="4"/>
    <x v="2"/>
    <x v="3"/>
    <n v="23824"/>
    <n v="8"/>
    <n v="4.0999999999999996"/>
    <n v="7"/>
    <x v="7"/>
  </r>
  <r>
    <x v="274"/>
    <s v="15/02/2025"/>
    <x v="16"/>
    <x v="11"/>
    <x v="3"/>
    <x v="0"/>
    <x v="2"/>
    <x v="2"/>
    <n v="38192"/>
    <n v="8"/>
    <n v="3.2"/>
    <n v="7"/>
    <x v="7"/>
  </r>
  <r>
    <x v="275"/>
    <s v="18/09/2025"/>
    <x v="18"/>
    <x v="6"/>
    <x v="1"/>
    <x v="5"/>
    <x v="1"/>
    <x v="1"/>
    <n v="6756"/>
    <n v="4"/>
    <n v="4.7"/>
    <n v="8"/>
    <x v="5"/>
  </r>
  <r>
    <x v="276"/>
    <s v="19/02/2025"/>
    <x v="7"/>
    <x v="3"/>
    <x v="3"/>
    <x v="0"/>
    <x v="0"/>
    <x v="3"/>
    <n v="23560"/>
    <n v="4"/>
    <n v="4.2"/>
    <n v="6"/>
    <x v="7"/>
  </r>
  <r>
    <x v="277"/>
    <s v="24/02/2025"/>
    <x v="18"/>
    <x v="5"/>
    <x v="4"/>
    <x v="0"/>
    <x v="1"/>
    <x v="2"/>
    <n v="5260"/>
    <n v="5"/>
    <n v="3.6"/>
    <n v="4"/>
    <x v="7"/>
  </r>
  <r>
    <x v="278"/>
    <s v="19/08/2025"/>
    <x v="10"/>
    <x v="1"/>
    <x v="1"/>
    <x v="3"/>
    <x v="1"/>
    <x v="0"/>
    <n v="6968"/>
    <n v="8"/>
    <n v="4.2"/>
    <n v="1"/>
    <x v="3"/>
  </r>
  <r>
    <x v="279"/>
    <s v="07/03/2025"/>
    <x v="11"/>
    <x v="9"/>
    <x v="1"/>
    <x v="3"/>
    <x v="3"/>
    <x v="1"/>
    <n v="15318"/>
    <n v="2"/>
    <n v="5"/>
    <n v="4"/>
    <x v="6"/>
  </r>
  <r>
    <x v="280"/>
    <s v="12/03/2025"/>
    <x v="19"/>
    <x v="18"/>
    <x v="3"/>
    <x v="4"/>
    <x v="3"/>
    <x v="1"/>
    <n v="36309"/>
    <n v="7"/>
    <n v="4.5"/>
    <n v="4"/>
    <x v="6"/>
  </r>
  <r>
    <x v="281"/>
    <s v="15/09/2025"/>
    <x v="10"/>
    <x v="7"/>
    <x v="4"/>
    <x v="2"/>
    <x v="1"/>
    <x v="2"/>
    <n v="4332"/>
    <n v="6"/>
    <n v="4.2"/>
    <n v="7"/>
    <x v="5"/>
  </r>
  <r>
    <x v="282"/>
    <s v="13/01/2025"/>
    <x v="3"/>
    <x v="1"/>
    <x v="1"/>
    <x v="1"/>
    <x v="3"/>
    <x v="0"/>
    <n v="36218"/>
    <n v="7"/>
    <n v="4.5999999999999996"/>
    <n v="3"/>
    <x v="10"/>
  </r>
  <r>
    <x v="283"/>
    <s v="15/04/2025"/>
    <x v="10"/>
    <x v="20"/>
    <x v="0"/>
    <x v="3"/>
    <x v="0"/>
    <x v="1"/>
    <n v="1034"/>
    <n v="1"/>
    <n v="4.5"/>
    <n v="4"/>
    <x v="2"/>
  </r>
  <r>
    <x v="284"/>
    <s v="18/07/2025"/>
    <x v="4"/>
    <x v="15"/>
    <x v="0"/>
    <x v="3"/>
    <x v="0"/>
    <x v="1"/>
    <n v="11921"/>
    <n v="7"/>
    <n v="4.5"/>
    <n v="4"/>
    <x v="4"/>
  </r>
  <r>
    <x v="285"/>
    <s v="10/04/2025"/>
    <x v="5"/>
    <x v="9"/>
    <x v="1"/>
    <x v="0"/>
    <x v="1"/>
    <x v="1"/>
    <n v="18235"/>
    <n v="5"/>
    <n v="4.5"/>
    <n v="2"/>
    <x v="2"/>
  </r>
  <r>
    <x v="286"/>
    <s v="08/03/2025"/>
    <x v="2"/>
    <x v="6"/>
    <x v="1"/>
    <x v="4"/>
    <x v="3"/>
    <x v="2"/>
    <n v="25320"/>
    <n v="3"/>
    <n v="4.5"/>
    <n v="3"/>
    <x v="6"/>
  </r>
  <r>
    <x v="287"/>
    <s v="09/09/2025"/>
    <x v="16"/>
    <x v="6"/>
    <x v="1"/>
    <x v="5"/>
    <x v="1"/>
    <x v="2"/>
    <n v="22872"/>
    <n v="6"/>
    <n v="4.0999999999999996"/>
    <n v="3"/>
    <x v="5"/>
  </r>
  <r>
    <x v="288"/>
    <s v="20/04/2025"/>
    <x v="7"/>
    <x v="2"/>
    <x v="2"/>
    <x v="1"/>
    <x v="3"/>
    <x v="3"/>
    <n v="245874"/>
    <n v="6"/>
    <n v="4.2"/>
    <n v="1"/>
    <x v="2"/>
  </r>
  <r>
    <x v="289"/>
    <s v="21/01/2025"/>
    <x v="12"/>
    <x v="7"/>
    <x v="4"/>
    <x v="2"/>
    <x v="1"/>
    <x v="3"/>
    <n v="4284"/>
    <n v="6"/>
    <n v="4.5"/>
    <n v="1"/>
    <x v="10"/>
  </r>
  <r>
    <x v="290"/>
    <s v="30/11/2025"/>
    <x v="9"/>
    <x v="20"/>
    <x v="0"/>
    <x v="4"/>
    <x v="0"/>
    <x v="3"/>
    <n v="3824"/>
    <n v="4"/>
    <n v="4.9000000000000004"/>
    <n v="1"/>
    <x v="11"/>
  </r>
  <r>
    <x v="291"/>
    <s v="03/10/2025"/>
    <x v="9"/>
    <x v="10"/>
    <x v="0"/>
    <x v="0"/>
    <x v="2"/>
    <x v="0"/>
    <n v="11368"/>
    <n v="7"/>
    <n v="4.5"/>
    <n v="1"/>
    <x v="1"/>
  </r>
  <r>
    <x v="292"/>
    <s v="06/02/2025"/>
    <x v="0"/>
    <x v="19"/>
    <x v="2"/>
    <x v="3"/>
    <x v="2"/>
    <x v="2"/>
    <n v="213440"/>
    <n v="4"/>
    <n v="3.9"/>
    <n v="6"/>
    <x v="7"/>
  </r>
  <r>
    <x v="293"/>
    <s v="27/10/2025"/>
    <x v="4"/>
    <x v="1"/>
    <x v="1"/>
    <x v="0"/>
    <x v="3"/>
    <x v="3"/>
    <n v="2538"/>
    <n v="1"/>
    <n v="3.7"/>
    <n v="5"/>
    <x v="1"/>
  </r>
  <r>
    <x v="294"/>
    <s v="05/12/2025"/>
    <x v="8"/>
    <x v="11"/>
    <x v="3"/>
    <x v="2"/>
    <x v="3"/>
    <x v="2"/>
    <n v="2501"/>
    <n v="1"/>
    <n v="4.5"/>
    <n v="5"/>
    <x v="8"/>
  </r>
  <r>
    <x v="295"/>
    <s v="05/03/2025"/>
    <x v="19"/>
    <x v="9"/>
    <x v="1"/>
    <x v="3"/>
    <x v="0"/>
    <x v="0"/>
    <n v="2194"/>
    <n v="1"/>
    <n v="3.7"/>
    <n v="6"/>
    <x v="6"/>
  </r>
  <r>
    <x v="296"/>
    <s v="12/11/2025"/>
    <x v="10"/>
    <x v="7"/>
    <x v="4"/>
    <x v="0"/>
    <x v="3"/>
    <x v="2"/>
    <n v="3595"/>
    <n v="5"/>
    <n v="4.7"/>
    <n v="8"/>
    <x v="11"/>
  </r>
  <r>
    <x v="297"/>
    <s v="12/04/2025"/>
    <x v="19"/>
    <x v="14"/>
    <x v="2"/>
    <x v="2"/>
    <x v="1"/>
    <x v="3"/>
    <n v="154440"/>
    <n v="8"/>
    <n v="3.7"/>
    <n v="2"/>
    <x v="2"/>
  </r>
  <r>
    <x v="298"/>
    <s v="04/12/2025"/>
    <x v="1"/>
    <x v="19"/>
    <x v="2"/>
    <x v="0"/>
    <x v="3"/>
    <x v="0"/>
    <n v="383140"/>
    <n v="5"/>
    <n v="4.7"/>
    <n v="7"/>
    <x v="8"/>
  </r>
  <r>
    <x v="299"/>
    <s v="22/05/2025"/>
    <x v="14"/>
    <x v="5"/>
    <x v="4"/>
    <x v="5"/>
    <x v="2"/>
    <x v="0"/>
    <n v="9648"/>
    <n v="6"/>
    <n v="3.8"/>
    <n v="5"/>
    <x v="0"/>
  </r>
  <r>
    <x v="300"/>
    <s v="24/05/2025"/>
    <x v="12"/>
    <x v="1"/>
    <x v="1"/>
    <x v="1"/>
    <x v="2"/>
    <x v="3"/>
    <n v="6156"/>
    <n v="3"/>
    <n v="4.5"/>
    <n v="1"/>
    <x v="0"/>
  </r>
  <r>
    <x v="301"/>
    <s v="19/01/2025"/>
    <x v="8"/>
    <x v="9"/>
    <x v="1"/>
    <x v="3"/>
    <x v="2"/>
    <x v="3"/>
    <n v="33965"/>
    <n v="5"/>
    <n v="3.9"/>
    <n v="5"/>
    <x v="10"/>
  </r>
  <r>
    <x v="302"/>
    <s v="06/01/2025"/>
    <x v="14"/>
    <x v="19"/>
    <x v="2"/>
    <x v="2"/>
    <x v="2"/>
    <x v="0"/>
    <n v="279552"/>
    <n v="4"/>
    <n v="3.5"/>
    <n v="3"/>
    <x v="10"/>
  </r>
  <r>
    <x v="303"/>
    <s v="02/02/2025"/>
    <x v="5"/>
    <x v="18"/>
    <x v="3"/>
    <x v="3"/>
    <x v="1"/>
    <x v="2"/>
    <n v="11965"/>
    <n v="5"/>
    <n v="4.8"/>
    <n v="6"/>
    <x v="7"/>
  </r>
  <r>
    <x v="304"/>
    <s v="22/02/2025"/>
    <x v="6"/>
    <x v="20"/>
    <x v="0"/>
    <x v="1"/>
    <x v="2"/>
    <x v="1"/>
    <n v="4195"/>
    <n v="5"/>
    <n v="4.4000000000000004"/>
    <n v="6"/>
    <x v="7"/>
  </r>
  <r>
    <x v="305"/>
    <s v="22/09/2025"/>
    <x v="17"/>
    <x v="18"/>
    <x v="3"/>
    <x v="4"/>
    <x v="0"/>
    <x v="2"/>
    <n v="32543"/>
    <n v="7"/>
    <n v="3.2"/>
    <n v="3"/>
    <x v="5"/>
  </r>
  <r>
    <x v="306"/>
    <s v="19/04/2025"/>
    <x v="18"/>
    <x v="6"/>
    <x v="1"/>
    <x v="1"/>
    <x v="2"/>
    <x v="3"/>
    <n v="8214"/>
    <n v="3"/>
    <n v="4.4000000000000004"/>
    <n v="7"/>
    <x v="2"/>
  </r>
  <r>
    <x v="307"/>
    <s v="18/04/2025"/>
    <x v="8"/>
    <x v="11"/>
    <x v="3"/>
    <x v="1"/>
    <x v="2"/>
    <x v="0"/>
    <n v="8088"/>
    <n v="3"/>
    <n v="3.4"/>
    <n v="3"/>
    <x v="2"/>
  </r>
  <r>
    <x v="308"/>
    <s v="13/05/2025"/>
    <x v="9"/>
    <x v="10"/>
    <x v="0"/>
    <x v="4"/>
    <x v="1"/>
    <x v="3"/>
    <n v="4074"/>
    <n v="3"/>
    <n v="3.2"/>
    <n v="5"/>
    <x v="0"/>
  </r>
  <r>
    <x v="309"/>
    <s v="23/04/2025"/>
    <x v="1"/>
    <x v="18"/>
    <x v="3"/>
    <x v="1"/>
    <x v="3"/>
    <x v="3"/>
    <n v="15323"/>
    <n v="7"/>
    <n v="4.4000000000000004"/>
    <n v="5"/>
    <x v="2"/>
  </r>
  <r>
    <x v="310"/>
    <s v="28/04/2025"/>
    <x v="8"/>
    <x v="1"/>
    <x v="1"/>
    <x v="5"/>
    <x v="2"/>
    <x v="0"/>
    <n v="28805"/>
    <n v="7"/>
    <n v="4.0999999999999996"/>
    <n v="7"/>
    <x v="2"/>
  </r>
  <r>
    <x v="311"/>
    <s v="30/09/2025"/>
    <x v="12"/>
    <x v="3"/>
    <x v="3"/>
    <x v="3"/>
    <x v="3"/>
    <x v="2"/>
    <n v="11286"/>
    <n v="2"/>
    <n v="4.7"/>
    <n v="7"/>
    <x v="5"/>
  </r>
  <r>
    <x v="312"/>
    <s v="28/04/2025"/>
    <x v="14"/>
    <x v="8"/>
    <x v="1"/>
    <x v="4"/>
    <x v="2"/>
    <x v="1"/>
    <n v="19200"/>
    <n v="8"/>
    <n v="4"/>
    <n v="5"/>
    <x v="2"/>
  </r>
  <r>
    <x v="313"/>
    <s v="12/05/2025"/>
    <x v="19"/>
    <x v="8"/>
    <x v="1"/>
    <x v="1"/>
    <x v="3"/>
    <x v="3"/>
    <n v="10920"/>
    <n v="4"/>
    <n v="4.0999999999999996"/>
    <n v="7"/>
    <x v="0"/>
  </r>
  <r>
    <x v="314"/>
    <s v="21/03/2025"/>
    <x v="5"/>
    <x v="14"/>
    <x v="2"/>
    <x v="4"/>
    <x v="1"/>
    <x v="3"/>
    <n v="257243"/>
    <n v="7"/>
    <n v="4.2"/>
    <n v="5"/>
    <x v="6"/>
  </r>
  <r>
    <x v="315"/>
    <s v="14/10/2025"/>
    <x v="13"/>
    <x v="13"/>
    <x v="4"/>
    <x v="3"/>
    <x v="0"/>
    <x v="2"/>
    <n v="12048"/>
    <n v="8"/>
    <n v="4.5"/>
    <n v="2"/>
    <x v="1"/>
  </r>
  <r>
    <x v="316"/>
    <s v="23/06/2025"/>
    <x v="9"/>
    <x v="5"/>
    <x v="4"/>
    <x v="0"/>
    <x v="3"/>
    <x v="0"/>
    <n v="1843"/>
    <n v="1"/>
    <n v="4"/>
    <n v="7"/>
    <x v="9"/>
  </r>
  <r>
    <x v="317"/>
    <s v="08/11/2025"/>
    <x v="1"/>
    <x v="14"/>
    <x v="2"/>
    <x v="1"/>
    <x v="1"/>
    <x v="3"/>
    <n v="55013"/>
    <n v="1"/>
    <n v="4.0999999999999996"/>
    <n v="1"/>
    <x v="11"/>
  </r>
  <r>
    <x v="318"/>
    <s v="03/12/2025"/>
    <x v="2"/>
    <x v="10"/>
    <x v="0"/>
    <x v="2"/>
    <x v="0"/>
    <x v="2"/>
    <n v="3490"/>
    <n v="5"/>
    <n v="4.5"/>
    <n v="3"/>
    <x v="8"/>
  </r>
  <r>
    <x v="319"/>
    <s v="22/05/2025"/>
    <x v="9"/>
    <x v="17"/>
    <x v="4"/>
    <x v="5"/>
    <x v="3"/>
    <x v="1"/>
    <n v="13076"/>
    <n v="7"/>
    <n v="4.0999999999999996"/>
    <n v="2"/>
    <x v="0"/>
  </r>
  <r>
    <x v="320"/>
    <s v="26/04/2025"/>
    <x v="10"/>
    <x v="16"/>
    <x v="2"/>
    <x v="0"/>
    <x v="3"/>
    <x v="1"/>
    <n v="311416"/>
    <n v="4"/>
    <n v="3.5"/>
    <n v="2"/>
    <x v="2"/>
  </r>
  <r>
    <x v="321"/>
    <s v="03/10/2025"/>
    <x v="17"/>
    <x v="20"/>
    <x v="0"/>
    <x v="1"/>
    <x v="1"/>
    <x v="2"/>
    <n v="8605"/>
    <n v="5"/>
    <n v="4.5999999999999996"/>
    <n v="6"/>
    <x v="1"/>
  </r>
  <r>
    <x v="322"/>
    <s v="13/05/2025"/>
    <x v="11"/>
    <x v="3"/>
    <x v="3"/>
    <x v="4"/>
    <x v="3"/>
    <x v="2"/>
    <n v="6572"/>
    <n v="2"/>
    <n v="4.9000000000000004"/>
    <n v="1"/>
    <x v="0"/>
  </r>
  <r>
    <x v="323"/>
    <s v="08/02/2025"/>
    <x v="14"/>
    <x v="4"/>
    <x v="3"/>
    <x v="1"/>
    <x v="0"/>
    <x v="0"/>
    <n v="7470"/>
    <n v="3"/>
    <n v="3.7"/>
    <n v="4"/>
    <x v="7"/>
  </r>
  <r>
    <x v="324"/>
    <s v="16/04/2025"/>
    <x v="9"/>
    <x v="13"/>
    <x v="4"/>
    <x v="1"/>
    <x v="1"/>
    <x v="2"/>
    <n v="5088"/>
    <n v="4"/>
    <n v="4.5999999999999996"/>
    <n v="2"/>
    <x v="2"/>
  </r>
  <r>
    <x v="325"/>
    <s v="04/09/2025"/>
    <x v="5"/>
    <x v="1"/>
    <x v="1"/>
    <x v="4"/>
    <x v="0"/>
    <x v="2"/>
    <n v="31806"/>
    <n v="6"/>
    <n v="4.0999999999999996"/>
    <n v="5"/>
    <x v="5"/>
  </r>
  <r>
    <x v="326"/>
    <s v="02/09/2025"/>
    <x v="18"/>
    <x v="8"/>
    <x v="1"/>
    <x v="1"/>
    <x v="2"/>
    <x v="2"/>
    <n v="8290"/>
    <n v="1"/>
    <n v="5"/>
    <n v="8"/>
    <x v="5"/>
  </r>
  <r>
    <x v="327"/>
    <s v="25/10/2025"/>
    <x v="11"/>
    <x v="5"/>
    <x v="4"/>
    <x v="3"/>
    <x v="3"/>
    <x v="1"/>
    <n v="3462"/>
    <n v="2"/>
    <n v="4.2"/>
    <n v="4"/>
    <x v="1"/>
  </r>
  <r>
    <x v="328"/>
    <s v="06/08/2025"/>
    <x v="6"/>
    <x v="5"/>
    <x v="4"/>
    <x v="1"/>
    <x v="0"/>
    <x v="2"/>
    <n v="7096"/>
    <n v="4"/>
    <n v="4"/>
    <n v="3"/>
    <x v="3"/>
  </r>
  <r>
    <x v="329"/>
    <s v="12/10/2025"/>
    <x v="16"/>
    <x v="2"/>
    <x v="2"/>
    <x v="3"/>
    <x v="0"/>
    <x v="1"/>
    <n v="151312"/>
    <n v="7"/>
    <n v="4.7"/>
    <n v="3"/>
    <x v="1"/>
  </r>
  <r>
    <x v="330"/>
    <s v="09/05/2025"/>
    <x v="7"/>
    <x v="4"/>
    <x v="3"/>
    <x v="3"/>
    <x v="3"/>
    <x v="1"/>
    <n v="1191"/>
    <n v="1"/>
    <n v="4.7"/>
    <n v="8"/>
    <x v="0"/>
  </r>
  <r>
    <x v="331"/>
    <s v="14/10/2025"/>
    <x v="6"/>
    <x v="16"/>
    <x v="2"/>
    <x v="5"/>
    <x v="0"/>
    <x v="1"/>
    <n v="282350"/>
    <n v="5"/>
    <n v="4.8"/>
    <n v="4"/>
    <x v="1"/>
  </r>
  <r>
    <x v="332"/>
    <s v="11/12/2025"/>
    <x v="1"/>
    <x v="16"/>
    <x v="2"/>
    <x v="1"/>
    <x v="3"/>
    <x v="3"/>
    <n v="419576"/>
    <n v="8"/>
    <n v="4"/>
    <n v="3"/>
    <x v="8"/>
  </r>
  <r>
    <x v="333"/>
    <s v="06/02/2025"/>
    <x v="4"/>
    <x v="8"/>
    <x v="1"/>
    <x v="1"/>
    <x v="1"/>
    <x v="1"/>
    <n v="11982"/>
    <n v="2"/>
    <n v="4.4000000000000004"/>
    <n v="5"/>
    <x v="7"/>
  </r>
  <r>
    <x v="334"/>
    <s v="28/10/2025"/>
    <x v="9"/>
    <x v="4"/>
    <x v="3"/>
    <x v="4"/>
    <x v="0"/>
    <x v="3"/>
    <n v="7112"/>
    <n v="8"/>
    <n v="4.5"/>
    <n v="5"/>
    <x v="1"/>
  </r>
  <r>
    <x v="335"/>
    <s v="02/02/2025"/>
    <x v="7"/>
    <x v="0"/>
    <x v="0"/>
    <x v="2"/>
    <x v="0"/>
    <x v="2"/>
    <n v="11384"/>
    <n v="8"/>
    <n v="4.5999999999999996"/>
    <n v="2"/>
    <x v="7"/>
  </r>
  <r>
    <x v="336"/>
    <s v="28/04/2025"/>
    <x v="0"/>
    <x v="4"/>
    <x v="3"/>
    <x v="0"/>
    <x v="3"/>
    <x v="1"/>
    <n v="6940"/>
    <n v="4"/>
    <n v="4.0999999999999996"/>
    <n v="3"/>
    <x v="2"/>
  </r>
  <r>
    <x v="337"/>
    <s v="04/10/2025"/>
    <x v="6"/>
    <x v="11"/>
    <x v="3"/>
    <x v="3"/>
    <x v="3"/>
    <x v="1"/>
    <n v="25585"/>
    <n v="5"/>
    <n v="4.3"/>
    <n v="8"/>
    <x v="1"/>
  </r>
  <r>
    <x v="338"/>
    <s v="15/02/2025"/>
    <x v="12"/>
    <x v="18"/>
    <x v="3"/>
    <x v="4"/>
    <x v="3"/>
    <x v="1"/>
    <n v="22624"/>
    <n v="8"/>
    <n v="3.7"/>
    <n v="1"/>
    <x v="7"/>
  </r>
  <r>
    <x v="339"/>
    <s v="19/12/2025"/>
    <x v="10"/>
    <x v="3"/>
    <x v="3"/>
    <x v="2"/>
    <x v="0"/>
    <x v="3"/>
    <n v="33808"/>
    <n v="8"/>
    <n v="4.3"/>
    <n v="1"/>
    <x v="8"/>
  </r>
  <r>
    <x v="340"/>
    <s v="22/07/2025"/>
    <x v="12"/>
    <x v="8"/>
    <x v="1"/>
    <x v="5"/>
    <x v="3"/>
    <x v="1"/>
    <n v="20432"/>
    <n v="4"/>
    <n v="3.3"/>
    <n v="4"/>
    <x v="4"/>
  </r>
  <r>
    <x v="341"/>
    <s v="31/07/2025"/>
    <x v="11"/>
    <x v="6"/>
    <x v="1"/>
    <x v="1"/>
    <x v="1"/>
    <x v="0"/>
    <n v="10432"/>
    <n v="4"/>
    <n v="4.3"/>
    <n v="8"/>
    <x v="4"/>
  </r>
  <r>
    <x v="342"/>
    <s v="19/03/2025"/>
    <x v="0"/>
    <x v="14"/>
    <x v="2"/>
    <x v="4"/>
    <x v="2"/>
    <x v="0"/>
    <n v="26871"/>
    <n v="1"/>
    <n v="3.7"/>
    <n v="8"/>
    <x v="6"/>
  </r>
  <r>
    <x v="343"/>
    <s v="22/04/2025"/>
    <x v="18"/>
    <x v="15"/>
    <x v="0"/>
    <x v="0"/>
    <x v="0"/>
    <x v="2"/>
    <n v="6960"/>
    <n v="6"/>
    <n v="4.5"/>
    <n v="1"/>
    <x v="2"/>
  </r>
  <r>
    <x v="344"/>
    <s v="06/02/2025"/>
    <x v="5"/>
    <x v="12"/>
    <x v="2"/>
    <x v="3"/>
    <x v="0"/>
    <x v="2"/>
    <n v="282224"/>
    <n v="8"/>
    <n v="3.4"/>
    <n v="4"/>
    <x v="7"/>
  </r>
  <r>
    <x v="345"/>
    <s v="18/02/2025"/>
    <x v="10"/>
    <x v="5"/>
    <x v="4"/>
    <x v="5"/>
    <x v="2"/>
    <x v="1"/>
    <n v="7372"/>
    <n v="4"/>
    <n v="4.3"/>
    <n v="1"/>
    <x v="7"/>
  </r>
  <r>
    <x v="346"/>
    <s v="12/04/2025"/>
    <x v="1"/>
    <x v="4"/>
    <x v="3"/>
    <x v="2"/>
    <x v="2"/>
    <x v="3"/>
    <n v="15798"/>
    <n v="6"/>
    <n v="4"/>
    <n v="1"/>
    <x v="2"/>
  </r>
  <r>
    <x v="347"/>
    <s v="22/01/2025"/>
    <x v="4"/>
    <x v="17"/>
    <x v="4"/>
    <x v="2"/>
    <x v="2"/>
    <x v="2"/>
    <n v="7072"/>
    <n v="8"/>
    <n v="3.5"/>
    <n v="2"/>
    <x v="10"/>
  </r>
  <r>
    <x v="348"/>
    <s v="26/12/2025"/>
    <x v="17"/>
    <x v="2"/>
    <x v="2"/>
    <x v="1"/>
    <x v="0"/>
    <x v="2"/>
    <n v="65994"/>
    <n v="2"/>
    <n v="4.5999999999999996"/>
    <n v="6"/>
    <x v="8"/>
  </r>
  <r>
    <x v="349"/>
    <s v="10/03/2025"/>
    <x v="19"/>
    <x v="4"/>
    <x v="3"/>
    <x v="5"/>
    <x v="0"/>
    <x v="1"/>
    <n v="26395"/>
    <n v="5"/>
    <n v="4.2"/>
    <n v="8"/>
    <x v="6"/>
  </r>
  <r>
    <x v="350"/>
    <s v="21/05/2025"/>
    <x v="17"/>
    <x v="12"/>
    <x v="2"/>
    <x v="0"/>
    <x v="1"/>
    <x v="0"/>
    <n v="68457"/>
    <n v="3"/>
    <n v="4.7"/>
    <n v="6"/>
    <x v="0"/>
  </r>
  <r>
    <x v="351"/>
    <s v="14/11/2025"/>
    <x v="10"/>
    <x v="20"/>
    <x v="0"/>
    <x v="4"/>
    <x v="3"/>
    <x v="1"/>
    <n v="3824"/>
    <n v="4"/>
    <n v="4.0999999999999996"/>
    <n v="8"/>
    <x v="11"/>
  </r>
  <r>
    <x v="352"/>
    <s v="26/02/2025"/>
    <x v="7"/>
    <x v="4"/>
    <x v="3"/>
    <x v="3"/>
    <x v="0"/>
    <x v="2"/>
    <n v="3526"/>
    <n v="2"/>
    <n v="4.8"/>
    <n v="4"/>
    <x v="7"/>
  </r>
  <r>
    <x v="353"/>
    <s v="03/12/2025"/>
    <x v="0"/>
    <x v="15"/>
    <x v="0"/>
    <x v="4"/>
    <x v="1"/>
    <x v="2"/>
    <n v="11008"/>
    <n v="8"/>
    <n v="4.3"/>
    <n v="2"/>
    <x v="8"/>
  </r>
  <r>
    <x v="354"/>
    <s v="04/07/2025"/>
    <x v="3"/>
    <x v="3"/>
    <x v="3"/>
    <x v="0"/>
    <x v="0"/>
    <x v="2"/>
    <n v="20139"/>
    <n v="7"/>
    <n v="3.3"/>
    <n v="2"/>
    <x v="4"/>
  </r>
  <r>
    <x v="355"/>
    <s v="30/09/2025"/>
    <x v="10"/>
    <x v="10"/>
    <x v="0"/>
    <x v="1"/>
    <x v="1"/>
    <x v="2"/>
    <n v="4816"/>
    <n v="7"/>
    <n v="4.3"/>
    <n v="3"/>
    <x v="5"/>
  </r>
  <r>
    <x v="356"/>
    <s v="12/12/2025"/>
    <x v="1"/>
    <x v="6"/>
    <x v="1"/>
    <x v="5"/>
    <x v="1"/>
    <x v="1"/>
    <n v="30040"/>
    <n v="8"/>
    <n v="4.2"/>
    <n v="6"/>
    <x v="8"/>
  </r>
  <r>
    <x v="357"/>
    <s v="16/06/2025"/>
    <x v="5"/>
    <x v="19"/>
    <x v="2"/>
    <x v="5"/>
    <x v="3"/>
    <x v="1"/>
    <n v="269370"/>
    <n v="6"/>
    <n v="4.2"/>
    <n v="4"/>
    <x v="9"/>
  </r>
  <r>
    <x v="358"/>
    <s v="23/07/2025"/>
    <x v="0"/>
    <x v="11"/>
    <x v="3"/>
    <x v="2"/>
    <x v="0"/>
    <x v="0"/>
    <n v="5580"/>
    <n v="1"/>
    <n v="4.0999999999999996"/>
    <n v="5"/>
    <x v="4"/>
  </r>
  <r>
    <x v="359"/>
    <s v="20/12/2025"/>
    <x v="17"/>
    <x v="14"/>
    <x v="2"/>
    <x v="2"/>
    <x v="0"/>
    <x v="0"/>
    <n v="377090"/>
    <n v="5"/>
    <n v="3.5"/>
    <n v="1"/>
    <x v="8"/>
  </r>
  <r>
    <x v="360"/>
    <s v="26/10/2025"/>
    <x v="9"/>
    <x v="16"/>
    <x v="2"/>
    <x v="1"/>
    <x v="3"/>
    <x v="3"/>
    <n v="167444"/>
    <n v="4"/>
    <n v="3.9"/>
    <n v="4"/>
    <x v="1"/>
  </r>
  <r>
    <x v="361"/>
    <s v="20/12/2025"/>
    <x v="18"/>
    <x v="5"/>
    <x v="4"/>
    <x v="2"/>
    <x v="1"/>
    <x v="3"/>
    <n v="2960"/>
    <n v="2"/>
    <n v="3.3"/>
    <n v="1"/>
    <x v="8"/>
  </r>
  <r>
    <x v="362"/>
    <s v="01/12/2025"/>
    <x v="18"/>
    <x v="10"/>
    <x v="0"/>
    <x v="5"/>
    <x v="0"/>
    <x v="0"/>
    <n v="1598"/>
    <n v="1"/>
    <n v="3.3"/>
    <n v="3"/>
    <x v="8"/>
  </r>
  <r>
    <x v="363"/>
    <s v="17/08/2025"/>
    <x v="14"/>
    <x v="15"/>
    <x v="0"/>
    <x v="5"/>
    <x v="2"/>
    <x v="3"/>
    <n v="1508"/>
    <n v="2"/>
    <n v="3.4"/>
    <n v="2"/>
    <x v="3"/>
  </r>
  <r>
    <x v="364"/>
    <s v="24/07/2025"/>
    <x v="6"/>
    <x v="14"/>
    <x v="2"/>
    <x v="4"/>
    <x v="0"/>
    <x v="0"/>
    <n v="141239"/>
    <n v="7"/>
    <n v="3.6"/>
    <n v="7"/>
    <x v="4"/>
  </r>
  <r>
    <x v="365"/>
    <s v="09/08/2025"/>
    <x v="18"/>
    <x v="20"/>
    <x v="0"/>
    <x v="2"/>
    <x v="2"/>
    <x v="1"/>
    <n v="10212"/>
    <n v="6"/>
    <n v="3.9"/>
    <n v="4"/>
    <x v="3"/>
  </r>
  <r>
    <x v="366"/>
    <s v="12/11/2025"/>
    <x v="8"/>
    <x v="13"/>
    <x v="4"/>
    <x v="1"/>
    <x v="2"/>
    <x v="2"/>
    <n v="6776"/>
    <n v="8"/>
    <n v="3.6"/>
    <n v="6"/>
    <x v="11"/>
  </r>
  <r>
    <x v="367"/>
    <s v="14/11/2025"/>
    <x v="18"/>
    <x v="10"/>
    <x v="0"/>
    <x v="4"/>
    <x v="0"/>
    <x v="0"/>
    <n v="2667"/>
    <n v="3"/>
    <n v="4"/>
    <n v="1"/>
    <x v="11"/>
  </r>
  <r>
    <x v="368"/>
    <s v="08/10/2025"/>
    <x v="11"/>
    <x v="6"/>
    <x v="1"/>
    <x v="4"/>
    <x v="2"/>
    <x v="1"/>
    <n v="82808"/>
    <n v="8"/>
    <n v="4.8"/>
    <n v="1"/>
    <x v="1"/>
  </r>
  <r>
    <x v="369"/>
    <s v="28/01/2025"/>
    <x v="7"/>
    <x v="13"/>
    <x v="4"/>
    <x v="0"/>
    <x v="3"/>
    <x v="3"/>
    <n v="2272"/>
    <n v="8"/>
    <n v="3.7"/>
    <n v="6"/>
    <x v="10"/>
  </r>
  <r>
    <x v="370"/>
    <s v="18/09/2025"/>
    <x v="10"/>
    <x v="5"/>
    <x v="4"/>
    <x v="1"/>
    <x v="2"/>
    <x v="2"/>
    <n v="4470"/>
    <n v="2"/>
    <n v="3.5"/>
    <n v="8"/>
    <x v="5"/>
  </r>
  <r>
    <x v="371"/>
    <s v="20/06/2025"/>
    <x v="13"/>
    <x v="13"/>
    <x v="4"/>
    <x v="5"/>
    <x v="3"/>
    <x v="2"/>
    <n v="7144"/>
    <n v="8"/>
    <n v="3.8"/>
    <n v="5"/>
    <x v="9"/>
  </r>
  <r>
    <x v="372"/>
    <s v="16/01/2025"/>
    <x v="12"/>
    <x v="12"/>
    <x v="2"/>
    <x v="1"/>
    <x v="0"/>
    <x v="3"/>
    <n v="236490"/>
    <n v="5"/>
    <n v="3.4"/>
    <n v="7"/>
    <x v="10"/>
  </r>
  <r>
    <x v="373"/>
    <s v="07/08/2025"/>
    <x v="6"/>
    <x v="7"/>
    <x v="4"/>
    <x v="5"/>
    <x v="0"/>
    <x v="0"/>
    <n v="7990"/>
    <n v="5"/>
    <n v="3.6"/>
    <n v="3"/>
    <x v="3"/>
  </r>
  <r>
    <x v="374"/>
    <s v="11/03/2025"/>
    <x v="1"/>
    <x v="19"/>
    <x v="2"/>
    <x v="2"/>
    <x v="0"/>
    <x v="2"/>
    <n v="308798"/>
    <n v="7"/>
    <n v="4.2"/>
    <n v="2"/>
    <x v="6"/>
  </r>
  <r>
    <x v="375"/>
    <s v="30/07/2025"/>
    <x v="4"/>
    <x v="12"/>
    <x v="2"/>
    <x v="5"/>
    <x v="3"/>
    <x v="0"/>
    <n v="112085"/>
    <n v="5"/>
    <n v="3.4"/>
    <n v="1"/>
    <x v="4"/>
  </r>
  <r>
    <x v="376"/>
    <s v="29/04/2025"/>
    <x v="15"/>
    <x v="9"/>
    <x v="1"/>
    <x v="4"/>
    <x v="1"/>
    <x v="3"/>
    <n v="9030"/>
    <n v="1"/>
    <n v="4.7"/>
    <n v="8"/>
    <x v="2"/>
  </r>
  <r>
    <x v="377"/>
    <s v="25/03/2025"/>
    <x v="19"/>
    <x v="18"/>
    <x v="3"/>
    <x v="4"/>
    <x v="2"/>
    <x v="0"/>
    <n v="3288"/>
    <n v="4"/>
    <n v="4.9000000000000004"/>
    <n v="4"/>
    <x v="6"/>
  </r>
  <r>
    <x v="378"/>
    <s v="19/12/2025"/>
    <x v="18"/>
    <x v="11"/>
    <x v="3"/>
    <x v="3"/>
    <x v="2"/>
    <x v="2"/>
    <n v="24096"/>
    <n v="6"/>
    <n v="4.3"/>
    <n v="7"/>
    <x v="8"/>
  </r>
  <r>
    <x v="379"/>
    <s v="22/01/2025"/>
    <x v="19"/>
    <x v="11"/>
    <x v="3"/>
    <x v="2"/>
    <x v="1"/>
    <x v="3"/>
    <n v="4084"/>
    <n v="4"/>
    <n v="3.9"/>
    <n v="1"/>
    <x v="10"/>
  </r>
  <r>
    <x v="380"/>
    <s v="25/08/2025"/>
    <x v="17"/>
    <x v="16"/>
    <x v="2"/>
    <x v="0"/>
    <x v="2"/>
    <x v="0"/>
    <n v="248592"/>
    <n v="3"/>
    <n v="4.8"/>
    <n v="8"/>
    <x v="3"/>
  </r>
  <r>
    <x v="381"/>
    <s v="21/07/2025"/>
    <x v="17"/>
    <x v="9"/>
    <x v="1"/>
    <x v="0"/>
    <x v="3"/>
    <x v="1"/>
    <n v="57631"/>
    <n v="7"/>
    <n v="4.3"/>
    <n v="4"/>
    <x v="4"/>
  </r>
  <r>
    <x v="382"/>
    <s v="16/02/2025"/>
    <x v="5"/>
    <x v="17"/>
    <x v="4"/>
    <x v="5"/>
    <x v="1"/>
    <x v="2"/>
    <n v="4180"/>
    <n v="2"/>
    <n v="4.5"/>
    <n v="3"/>
    <x v="7"/>
  </r>
  <r>
    <x v="383"/>
    <s v="17/10/2025"/>
    <x v="3"/>
    <x v="13"/>
    <x v="4"/>
    <x v="1"/>
    <x v="0"/>
    <x v="2"/>
    <n v="2526"/>
    <n v="3"/>
    <n v="3.8"/>
    <n v="8"/>
    <x v="1"/>
  </r>
  <r>
    <x v="384"/>
    <s v="02/01/2025"/>
    <x v="13"/>
    <x v="7"/>
    <x v="4"/>
    <x v="4"/>
    <x v="1"/>
    <x v="3"/>
    <n v="10640"/>
    <n v="5"/>
    <n v="4.7"/>
    <n v="8"/>
    <x v="10"/>
  </r>
  <r>
    <x v="385"/>
    <s v="10/02/2025"/>
    <x v="2"/>
    <x v="11"/>
    <x v="3"/>
    <x v="4"/>
    <x v="0"/>
    <x v="2"/>
    <n v="5777"/>
    <n v="1"/>
    <n v="4.2"/>
    <n v="4"/>
    <x v="7"/>
  </r>
  <r>
    <x v="386"/>
    <s v="16/03/2025"/>
    <x v="1"/>
    <x v="14"/>
    <x v="2"/>
    <x v="1"/>
    <x v="3"/>
    <x v="0"/>
    <n v="45899"/>
    <n v="1"/>
    <n v="3.4"/>
    <n v="3"/>
    <x v="6"/>
  </r>
  <r>
    <x v="387"/>
    <s v="19/01/2025"/>
    <x v="3"/>
    <x v="4"/>
    <x v="3"/>
    <x v="3"/>
    <x v="0"/>
    <x v="2"/>
    <n v="7608"/>
    <n v="2"/>
    <n v="4.5999999999999996"/>
    <n v="2"/>
    <x v="10"/>
  </r>
  <r>
    <x v="388"/>
    <s v="27/09/2025"/>
    <x v="14"/>
    <x v="16"/>
    <x v="2"/>
    <x v="1"/>
    <x v="3"/>
    <x v="3"/>
    <n v="209300"/>
    <n v="7"/>
    <n v="3.4"/>
    <n v="2"/>
    <x v="5"/>
  </r>
  <r>
    <x v="389"/>
    <s v="13/05/2025"/>
    <x v="4"/>
    <x v="6"/>
    <x v="1"/>
    <x v="4"/>
    <x v="3"/>
    <x v="0"/>
    <n v="53724"/>
    <n v="6"/>
    <n v="4.0999999999999996"/>
    <n v="3"/>
    <x v="0"/>
  </r>
  <r>
    <x v="390"/>
    <s v="13/01/2025"/>
    <x v="15"/>
    <x v="0"/>
    <x v="0"/>
    <x v="5"/>
    <x v="0"/>
    <x v="2"/>
    <n v="12640"/>
    <n v="8"/>
    <n v="3.9"/>
    <n v="6"/>
    <x v="10"/>
  </r>
  <r>
    <x v="391"/>
    <s v="11/05/2025"/>
    <x v="18"/>
    <x v="13"/>
    <x v="4"/>
    <x v="2"/>
    <x v="1"/>
    <x v="2"/>
    <n v="2958"/>
    <n v="2"/>
    <n v="4.5999999999999996"/>
    <n v="2"/>
    <x v="0"/>
  </r>
  <r>
    <x v="392"/>
    <s v="19/06/2025"/>
    <x v="17"/>
    <x v="7"/>
    <x v="4"/>
    <x v="5"/>
    <x v="3"/>
    <x v="3"/>
    <n v="13272"/>
    <n v="6"/>
    <n v="3.4"/>
    <n v="3"/>
    <x v="9"/>
  </r>
  <r>
    <x v="393"/>
    <s v="24/09/2025"/>
    <x v="15"/>
    <x v="3"/>
    <x v="3"/>
    <x v="0"/>
    <x v="0"/>
    <x v="1"/>
    <n v="25445"/>
    <n v="5"/>
    <n v="3.6"/>
    <n v="6"/>
    <x v="5"/>
  </r>
  <r>
    <x v="394"/>
    <s v="12/07/2025"/>
    <x v="18"/>
    <x v="20"/>
    <x v="0"/>
    <x v="1"/>
    <x v="2"/>
    <x v="1"/>
    <n v="4407"/>
    <n v="3"/>
    <n v="4.8"/>
    <n v="5"/>
    <x v="4"/>
  </r>
  <r>
    <x v="395"/>
    <s v="12/09/2025"/>
    <x v="15"/>
    <x v="3"/>
    <x v="3"/>
    <x v="0"/>
    <x v="0"/>
    <x v="2"/>
    <n v="9880"/>
    <n v="4"/>
    <n v="3.7"/>
    <n v="2"/>
    <x v="5"/>
  </r>
  <r>
    <x v="396"/>
    <s v="05/09/2025"/>
    <x v="7"/>
    <x v="3"/>
    <x v="3"/>
    <x v="5"/>
    <x v="0"/>
    <x v="0"/>
    <n v="14967"/>
    <n v="3"/>
    <n v="4.5999999999999996"/>
    <n v="3"/>
    <x v="5"/>
  </r>
  <r>
    <x v="397"/>
    <s v="18/07/2025"/>
    <x v="7"/>
    <x v="15"/>
    <x v="0"/>
    <x v="5"/>
    <x v="3"/>
    <x v="2"/>
    <n v="616"/>
    <n v="2"/>
    <n v="3.8"/>
    <n v="1"/>
    <x v="4"/>
  </r>
  <r>
    <x v="398"/>
    <s v="24/11/2025"/>
    <x v="7"/>
    <x v="6"/>
    <x v="1"/>
    <x v="2"/>
    <x v="0"/>
    <x v="0"/>
    <n v="21328"/>
    <n v="4"/>
    <n v="4.2"/>
    <n v="8"/>
    <x v="11"/>
  </r>
  <r>
    <x v="399"/>
    <s v="08/01/2025"/>
    <x v="6"/>
    <x v="14"/>
    <x v="2"/>
    <x v="4"/>
    <x v="0"/>
    <x v="2"/>
    <n v="96832"/>
    <n v="2"/>
    <n v="3.7"/>
    <n v="5"/>
    <x v="10"/>
  </r>
  <r>
    <x v="400"/>
    <s v="23/06/2025"/>
    <x v="2"/>
    <x v="19"/>
    <x v="2"/>
    <x v="0"/>
    <x v="1"/>
    <x v="3"/>
    <n v="50400"/>
    <n v="8"/>
    <n v="3.3"/>
    <n v="7"/>
    <x v="9"/>
  </r>
  <r>
    <x v="401"/>
    <s v="12/11/2025"/>
    <x v="6"/>
    <x v="5"/>
    <x v="4"/>
    <x v="4"/>
    <x v="2"/>
    <x v="3"/>
    <n v="9666"/>
    <n v="6"/>
    <n v="5"/>
    <n v="8"/>
    <x v="11"/>
  </r>
  <r>
    <x v="402"/>
    <s v="08/06/2025"/>
    <x v="5"/>
    <x v="15"/>
    <x v="0"/>
    <x v="4"/>
    <x v="3"/>
    <x v="1"/>
    <n v="10104"/>
    <n v="8"/>
    <n v="3.7"/>
    <n v="6"/>
    <x v="9"/>
  </r>
  <r>
    <x v="403"/>
    <s v="16/01/2025"/>
    <x v="15"/>
    <x v="11"/>
    <x v="3"/>
    <x v="5"/>
    <x v="0"/>
    <x v="2"/>
    <n v="9242"/>
    <n v="2"/>
    <n v="4.7"/>
    <n v="5"/>
    <x v="10"/>
  </r>
  <r>
    <x v="404"/>
    <s v="16/06/2025"/>
    <x v="10"/>
    <x v="3"/>
    <x v="3"/>
    <x v="4"/>
    <x v="1"/>
    <x v="3"/>
    <n v="7966"/>
    <n v="2"/>
    <n v="3.9"/>
    <n v="4"/>
    <x v="9"/>
  </r>
  <r>
    <x v="405"/>
    <s v="17/04/2025"/>
    <x v="6"/>
    <x v="20"/>
    <x v="0"/>
    <x v="3"/>
    <x v="2"/>
    <x v="3"/>
    <n v="8337"/>
    <n v="7"/>
    <n v="4.4000000000000004"/>
    <n v="2"/>
    <x v="2"/>
  </r>
  <r>
    <x v="406"/>
    <s v="19/02/2025"/>
    <x v="18"/>
    <x v="19"/>
    <x v="2"/>
    <x v="3"/>
    <x v="2"/>
    <x v="2"/>
    <n v="445504"/>
    <n v="8"/>
    <n v="3.4"/>
    <n v="7"/>
    <x v="7"/>
  </r>
  <r>
    <x v="407"/>
    <s v="25/10/2025"/>
    <x v="19"/>
    <x v="7"/>
    <x v="4"/>
    <x v="4"/>
    <x v="3"/>
    <x v="1"/>
    <n v="861"/>
    <n v="1"/>
    <n v="3.9"/>
    <n v="8"/>
    <x v="1"/>
  </r>
  <r>
    <x v="408"/>
    <s v="11/08/2025"/>
    <x v="2"/>
    <x v="6"/>
    <x v="1"/>
    <x v="2"/>
    <x v="2"/>
    <x v="2"/>
    <n v="44532"/>
    <n v="6"/>
    <n v="4.7"/>
    <n v="5"/>
    <x v="3"/>
  </r>
  <r>
    <x v="409"/>
    <s v="26/02/2025"/>
    <x v="5"/>
    <x v="6"/>
    <x v="1"/>
    <x v="3"/>
    <x v="1"/>
    <x v="0"/>
    <n v="36295"/>
    <n v="5"/>
    <n v="4.3"/>
    <n v="7"/>
    <x v="7"/>
  </r>
  <r>
    <x v="410"/>
    <s v="13/03/2025"/>
    <x v="8"/>
    <x v="5"/>
    <x v="4"/>
    <x v="0"/>
    <x v="2"/>
    <x v="2"/>
    <n v="7300"/>
    <n v="4"/>
    <n v="3.7"/>
    <n v="3"/>
    <x v="6"/>
  </r>
  <r>
    <x v="411"/>
    <s v="03/12/2025"/>
    <x v="4"/>
    <x v="5"/>
    <x v="4"/>
    <x v="4"/>
    <x v="1"/>
    <x v="3"/>
    <n v="4172"/>
    <n v="7"/>
    <n v="4.7"/>
    <n v="7"/>
    <x v="8"/>
  </r>
  <r>
    <x v="412"/>
    <s v="16/07/2025"/>
    <x v="12"/>
    <x v="8"/>
    <x v="1"/>
    <x v="2"/>
    <x v="1"/>
    <x v="1"/>
    <n v="5526"/>
    <n v="6"/>
    <n v="4.2"/>
    <n v="4"/>
    <x v="4"/>
  </r>
  <r>
    <x v="413"/>
    <s v="18/10/2025"/>
    <x v="8"/>
    <x v="0"/>
    <x v="0"/>
    <x v="1"/>
    <x v="3"/>
    <x v="3"/>
    <n v="13944"/>
    <n v="8"/>
    <n v="4.9000000000000004"/>
    <n v="2"/>
    <x v="1"/>
  </r>
  <r>
    <x v="414"/>
    <s v="25/09/2025"/>
    <x v="4"/>
    <x v="1"/>
    <x v="1"/>
    <x v="0"/>
    <x v="3"/>
    <x v="2"/>
    <n v="19268"/>
    <n v="2"/>
    <n v="4.5999999999999996"/>
    <n v="5"/>
    <x v="5"/>
  </r>
  <r>
    <x v="415"/>
    <s v="20/09/2025"/>
    <x v="4"/>
    <x v="11"/>
    <x v="3"/>
    <x v="1"/>
    <x v="3"/>
    <x v="1"/>
    <n v="28728"/>
    <n v="8"/>
    <n v="3.7"/>
    <n v="1"/>
    <x v="5"/>
  </r>
  <r>
    <x v="416"/>
    <s v="24/10/2025"/>
    <x v="8"/>
    <x v="15"/>
    <x v="0"/>
    <x v="5"/>
    <x v="2"/>
    <x v="1"/>
    <n v="4419"/>
    <n v="3"/>
    <n v="3.7"/>
    <n v="2"/>
    <x v="1"/>
  </r>
  <r>
    <x v="417"/>
    <s v="12/11/2025"/>
    <x v="17"/>
    <x v="2"/>
    <x v="2"/>
    <x v="2"/>
    <x v="0"/>
    <x v="1"/>
    <n v="21805"/>
    <n v="5"/>
    <n v="3.5"/>
    <n v="3"/>
    <x v="11"/>
  </r>
  <r>
    <x v="418"/>
    <s v="03/04/2025"/>
    <x v="5"/>
    <x v="5"/>
    <x v="4"/>
    <x v="4"/>
    <x v="1"/>
    <x v="0"/>
    <n v="595"/>
    <n v="1"/>
    <n v="4.7"/>
    <n v="7"/>
    <x v="2"/>
  </r>
  <r>
    <x v="419"/>
    <s v="28/01/2025"/>
    <x v="10"/>
    <x v="13"/>
    <x v="4"/>
    <x v="4"/>
    <x v="1"/>
    <x v="3"/>
    <n v="2325"/>
    <n v="5"/>
    <n v="4.0999999999999996"/>
    <n v="8"/>
    <x v="10"/>
  </r>
  <r>
    <x v="420"/>
    <s v="16/03/2025"/>
    <x v="7"/>
    <x v="4"/>
    <x v="3"/>
    <x v="5"/>
    <x v="3"/>
    <x v="3"/>
    <n v="26803"/>
    <n v="7"/>
    <n v="3.8"/>
    <n v="1"/>
    <x v="6"/>
  </r>
  <r>
    <x v="421"/>
    <s v="21/06/2025"/>
    <x v="6"/>
    <x v="6"/>
    <x v="1"/>
    <x v="4"/>
    <x v="3"/>
    <x v="0"/>
    <n v="36040"/>
    <n v="5"/>
    <n v="4"/>
    <n v="4"/>
    <x v="9"/>
  </r>
  <r>
    <x v="422"/>
    <s v="06/01/2025"/>
    <x v="15"/>
    <x v="19"/>
    <x v="2"/>
    <x v="4"/>
    <x v="3"/>
    <x v="1"/>
    <n v="56403"/>
    <n v="1"/>
    <n v="3.4"/>
    <n v="8"/>
    <x v="10"/>
  </r>
  <r>
    <x v="423"/>
    <s v="13/01/2025"/>
    <x v="9"/>
    <x v="17"/>
    <x v="4"/>
    <x v="5"/>
    <x v="0"/>
    <x v="3"/>
    <n v="2276"/>
    <n v="2"/>
    <n v="4.5"/>
    <n v="2"/>
    <x v="10"/>
  </r>
  <r>
    <x v="424"/>
    <s v="26/02/2025"/>
    <x v="16"/>
    <x v="9"/>
    <x v="1"/>
    <x v="1"/>
    <x v="3"/>
    <x v="1"/>
    <n v="33795"/>
    <n v="3"/>
    <n v="4"/>
    <n v="5"/>
    <x v="7"/>
  </r>
  <r>
    <x v="425"/>
    <s v="22/05/2025"/>
    <x v="1"/>
    <x v="17"/>
    <x v="4"/>
    <x v="3"/>
    <x v="2"/>
    <x v="3"/>
    <n v="1841"/>
    <n v="1"/>
    <n v="4.9000000000000004"/>
    <n v="5"/>
    <x v="0"/>
  </r>
  <r>
    <x v="426"/>
    <s v="02/04/2025"/>
    <x v="17"/>
    <x v="5"/>
    <x v="4"/>
    <x v="1"/>
    <x v="3"/>
    <x v="2"/>
    <n v="6712"/>
    <n v="8"/>
    <n v="4.3"/>
    <n v="2"/>
    <x v="2"/>
  </r>
  <r>
    <x v="427"/>
    <s v="06/02/2025"/>
    <x v="5"/>
    <x v="0"/>
    <x v="0"/>
    <x v="2"/>
    <x v="0"/>
    <x v="1"/>
    <n v="6065"/>
    <n v="5"/>
    <n v="4.4000000000000004"/>
    <n v="1"/>
    <x v="7"/>
  </r>
  <r>
    <x v="428"/>
    <s v="21/09/2025"/>
    <x v="14"/>
    <x v="3"/>
    <x v="3"/>
    <x v="0"/>
    <x v="3"/>
    <x v="1"/>
    <n v="10192"/>
    <n v="8"/>
    <n v="3.6"/>
    <n v="7"/>
    <x v="5"/>
  </r>
  <r>
    <x v="429"/>
    <s v="29/01/2025"/>
    <x v="19"/>
    <x v="12"/>
    <x v="2"/>
    <x v="4"/>
    <x v="2"/>
    <x v="3"/>
    <n v="94144"/>
    <n v="2"/>
    <n v="4.5999999999999996"/>
    <n v="5"/>
    <x v="10"/>
  </r>
  <r>
    <x v="430"/>
    <s v="23/12/2025"/>
    <x v="8"/>
    <x v="13"/>
    <x v="4"/>
    <x v="0"/>
    <x v="0"/>
    <x v="2"/>
    <n v="12047"/>
    <n v="7"/>
    <n v="4"/>
    <n v="4"/>
    <x v="8"/>
  </r>
  <r>
    <x v="431"/>
    <s v="08/09/2025"/>
    <x v="0"/>
    <x v="9"/>
    <x v="1"/>
    <x v="0"/>
    <x v="3"/>
    <x v="2"/>
    <n v="66836"/>
    <n v="7"/>
    <n v="4.9000000000000004"/>
    <n v="8"/>
    <x v="5"/>
  </r>
  <r>
    <x v="432"/>
    <s v="27/07/2025"/>
    <x v="9"/>
    <x v="14"/>
    <x v="2"/>
    <x v="0"/>
    <x v="0"/>
    <x v="3"/>
    <n v="125158"/>
    <n v="2"/>
    <n v="4.5"/>
    <n v="4"/>
    <x v="4"/>
  </r>
  <r>
    <x v="433"/>
    <s v="13/11/2025"/>
    <x v="7"/>
    <x v="15"/>
    <x v="0"/>
    <x v="3"/>
    <x v="0"/>
    <x v="2"/>
    <n v="797"/>
    <n v="1"/>
    <n v="3.3"/>
    <n v="5"/>
    <x v="11"/>
  </r>
  <r>
    <x v="434"/>
    <s v="12/09/2025"/>
    <x v="6"/>
    <x v="0"/>
    <x v="0"/>
    <x v="5"/>
    <x v="0"/>
    <x v="1"/>
    <n v="1716"/>
    <n v="4"/>
    <n v="3.9"/>
    <n v="2"/>
    <x v="5"/>
  </r>
  <r>
    <x v="435"/>
    <s v="31/10/2025"/>
    <x v="15"/>
    <x v="17"/>
    <x v="4"/>
    <x v="5"/>
    <x v="0"/>
    <x v="3"/>
    <n v="1524"/>
    <n v="3"/>
    <n v="4.5999999999999996"/>
    <n v="3"/>
    <x v="1"/>
  </r>
  <r>
    <x v="436"/>
    <s v="10/03/2025"/>
    <x v="1"/>
    <x v="17"/>
    <x v="4"/>
    <x v="0"/>
    <x v="3"/>
    <x v="3"/>
    <n v="3580"/>
    <n v="2"/>
    <n v="3.3"/>
    <n v="1"/>
    <x v="6"/>
  </r>
  <r>
    <x v="437"/>
    <s v="16/04/2025"/>
    <x v="4"/>
    <x v="18"/>
    <x v="3"/>
    <x v="1"/>
    <x v="2"/>
    <x v="0"/>
    <n v="13167"/>
    <n v="3"/>
    <n v="3.6"/>
    <n v="3"/>
    <x v="2"/>
  </r>
  <r>
    <x v="438"/>
    <s v="18/11/2025"/>
    <x v="4"/>
    <x v="3"/>
    <x v="3"/>
    <x v="2"/>
    <x v="0"/>
    <x v="3"/>
    <n v="26340"/>
    <n v="5"/>
    <n v="3.5"/>
    <n v="2"/>
    <x v="11"/>
  </r>
  <r>
    <x v="439"/>
    <s v="28/01/2025"/>
    <x v="2"/>
    <x v="13"/>
    <x v="4"/>
    <x v="1"/>
    <x v="3"/>
    <x v="1"/>
    <n v="3444"/>
    <n v="4"/>
    <n v="3.5"/>
    <n v="1"/>
    <x v="10"/>
  </r>
  <r>
    <x v="440"/>
    <s v="09/05/2025"/>
    <x v="1"/>
    <x v="5"/>
    <x v="4"/>
    <x v="0"/>
    <x v="1"/>
    <x v="2"/>
    <n v="12636"/>
    <n v="6"/>
    <n v="4.9000000000000004"/>
    <n v="3"/>
    <x v="0"/>
  </r>
  <r>
    <x v="441"/>
    <s v="16/08/2025"/>
    <x v="13"/>
    <x v="10"/>
    <x v="0"/>
    <x v="1"/>
    <x v="1"/>
    <x v="0"/>
    <n v="6948"/>
    <n v="6"/>
    <n v="3.8"/>
    <n v="2"/>
    <x v="3"/>
  </r>
  <r>
    <x v="442"/>
    <s v="07/02/2025"/>
    <x v="1"/>
    <x v="18"/>
    <x v="3"/>
    <x v="3"/>
    <x v="3"/>
    <x v="0"/>
    <n v="34160"/>
    <n v="8"/>
    <n v="3.6"/>
    <n v="8"/>
    <x v="7"/>
  </r>
  <r>
    <x v="443"/>
    <s v="20/11/2025"/>
    <x v="11"/>
    <x v="18"/>
    <x v="3"/>
    <x v="4"/>
    <x v="2"/>
    <x v="3"/>
    <n v="10452"/>
    <n v="6"/>
    <n v="4.4000000000000004"/>
    <n v="1"/>
    <x v="11"/>
  </r>
  <r>
    <x v="444"/>
    <s v="29/03/2025"/>
    <x v="6"/>
    <x v="11"/>
    <x v="3"/>
    <x v="5"/>
    <x v="0"/>
    <x v="2"/>
    <n v="11904"/>
    <n v="6"/>
    <n v="4.9000000000000004"/>
    <n v="3"/>
    <x v="6"/>
  </r>
  <r>
    <x v="445"/>
    <s v="21/04/2025"/>
    <x v="6"/>
    <x v="11"/>
    <x v="3"/>
    <x v="4"/>
    <x v="0"/>
    <x v="2"/>
    <n v="33656"/>
    <n v="8"/>
    <n v="3.6"/>
    <n v="7"/>
    <x v="2"/>
  </r>
  <r>
    <x v="446"/>
    <s v="21/01/2025"/>
    <x v="17"/>
    <x v="3"/>
    <x v="3"/>
    <x v="3"/>
    <x v="0"/>
    <x v="2"/>
    <n v="40400"/>
    <n v="8"/>
    <n v="4.0999999999999996"/>
    <n v="2"/>
    <x v="10"/>
  </r>
  <r>
    <x v="447"/>
    <s v="21/12/2025"/>
    <x v="0"/>
    <x v="1"/>
    <x v="1"/>
    <x v="3"/>
    <x v="3"/>
    <x v="0"/>
    <n v="33012"/>
    <n v="7"/>
    <n v="4.4000000000000004"/>
    <n v="2"/>
    <x v="8"/>
  </r>
  <r>
    <x v="448"/>
    <s v="21/08/2025"/>
    <x v="9"/>
    <x v="3"/>
    <x v="3"/>
    <x v="3"/>
    <x v="3"/>
    <x v="2"/>
    <n v="29872"/>
    <n v="8"/>
    <n v="4"/>
    <n v="1"/>
    <x v="3"/>
  </r>
  <r>
    <x v="449"/>
    <s v="19/05/2025"/>
    <x v="2"/>
    <x v="12"/>
    <x v="2"/>
    <x v="0"/>
    <x v="1"/>
    <x v="1"/>
    <n v="335296"/>
    <n v="4"/>
    <n v="4.0999999999999996"/>
    <n v="6"/>
    <x v="0"/>
  </r>
  <r>
    <x v="450"/>
    <s v="07/07/2025"/>
    <x v="10"/>
    <x v="3"/>
    <x v="3"/>
    <x v="0"/>
    <x v="1"/>
    <x v="0"/>
    <n v="14262"/>
    <n v="6"/>
    <n v="5"/>
    <n v="4"/>
    <x v="4"/>
  </r>
  <r>
    <x v="451"/>
    <s v="30/06/2025"/>
    <x v="14"/>
    <x v="13"/>
    <x v="4"/>
    <x v="5"/>
    <x v="2"/>
    <x v="3"/>
    <n v="9910"/>
    <n v="5"/>
    <n v="3.9"/>
    <n v="8"/>
    <x v="9"/>
  </r>
  <r>
    <x v="452"/>
    <s v="20/08/2025"/>
    <x v="3"/>
    <x v="6"/>
    <x v="1"/>
    <x v="0"/>
    <x v="2"/>
    <x v="0"/>
    <n v="13380"/>
    <n v="6"/>
    <n v="3.3"/>
    <n v="3"/>
    <x v="3"/>
  </r>
  <r>
    <x v="453"/>
    <s v="23/12/2025"/>
    <x v="10"/>
    <x v="14"/>
    <x v="2"/>
    <x v="4"/>
    <x v="1"/>
    <x v="1"/>
    <n v="87816"/>
    <n v="3"/>
    <n v="3.2"/>
    <n v="7"/>
    <x v="8"/>
  </r>
  <r>
    <x v="454"/>
    <s v="27/11/2025"/>
    <x v="16"/>
    <x v="11"/>
    <x v="3"/>
    <x v="5"/>
    <x v="3"/>
    <x v="1"/>
    <n v="880"/>
    <n v="1"/>
    <n v="4.7"/>
    <n v="6"/>
    <x v="11"/>
  </r>
  <r>
    <x v="455"/>
    <s v="23/08/2025"/>
    <x v="3"/>
    <x v="11"/>
    <x v="3"/>
    <x v="0"/>
    <x v="0"/>
    <x v="1"/>
    <n v="10530"/>
    <n v="5"/>
    <n v="3.6"/>
    <n v="6"/>
    <x v="3"/>
  </r>
  <r>
    <x v="456"/>
    <s v="27/03/2025"/>
    <x v="1"/>
    <x v="12"/>
    <x v="2"/>
    <x v="4"/>
    <x v="2"/>
    <x v="2"/>
    <n v="119661"/>
    <n v="3"/>
    <n v="4.7"/>
    <n v="3"/>
    <x v="6"/>
  </r>
  <r>
    <x v="457"/>
    <s v="06/03/2025"/>
    <x v="15"/>
    <x v="19"/>
    <x v="2"/>
    <x v="4"/>
    <x v="3"/>
    <x v="3"/>
    <n v="213456"/>
    <n v="8"/>
    <n v="4.5"/>
    <n v="6"/>
    <x v="6"/>
  </r>
  <r>
    <x v="458"/>
    <s v="01/10/2025"/>
    <x v="8"/>
    <x v="9"/>
    <x v="1"/>
    <x v="0"/>
    <x v="3"/>
    <x v="1"/>
    <n v="15905"/>
    <n v="5"/>
    <n v="4.9000000000000004"/>
    <n v="6"/>
    <x v="1"/>
  </r>
  <r>
    <x v="459"/>
    <s v="21/10/2025"/>
    <x v="10"/>
    <x v="4"/>
    <x v="3"/>
    <x v="0"/>
    <x v="3"/>
    <x v="2"/>
    <n v="4860"/>
    <n v="3"/>
    <n v="4.8"/>
    <n v="3"/>
    <x v="1"/>
  </r>
  <r>
    <x v="460"/>
    <s v="17/08/2025"/>
    <x v="11"/>
    <x v="18"/>
    <x v="3"/>
    <x v="4"/>
    <x v="2"/>
    <x v="2"/>
    <n v="34086"/>
    <n v="6"/>
    <n v="3.6"/>
    <n v="4"/>
    <x v="3"/>
  </r>
  <r>
    <x v="461"/>
    <s v="13/12/2025"/>
    <x v="15"/>
    <x v="8"/>
    <x v="1"/>
    <x v="3"/>
    <x v="0"/>
    <x v="3"/>
    <n v="12012"/>
    <n v="2"/>
    <n v="4.3"/>
    <n v="1"/>
    <x v="8"/>
  </r>
  <r>
    <x v="462"/>
    <s v="10/07/2025"/>
    <x v="19"/>
    <x v="12"/>
    <x v="2"/>
    <x v="1"/>
    <x v="1"/>
    <x v="3"/>
    <n v="48552"/>
    <n v="1"/>
    <n v="4.8"/>
    <n v="2"/>
    <x v="4"/>
  </r>
  <r>
    <x v="463"/>
    <s v="25/03/2025"/>
    <x v="3"/>
    <x v="4"/>
    <x v="3"/>
    <x v="3"/>
    <x v="3"/>
    <x v="2"/>
    <n v="38570"/>
    <n v="7"/>
    <n v="3.4"/>
    <n v="4"/>
    <x v="6"/>
  </r>
  <r>
    <x v="464"/>
    <s v="15/02/2025"/>
    <x v="19"/>
    <x v="8"/>
    <x v="1"/>
    <x v="4"/>
    <x v="1"/>
    <x v="1"/>
    <n v="9906"/>
    <n v="1"/>
    <n v="4"/>
    <n v="3"/>
    <x v="7"/>
  </r>
  <r>
    <x v="465"/>
    <s v="22/01/2025"/>
    <x v="8"/>
    <x v="8"/>
    <x v="1"/>
    <x v="2"/>
    <x v="3"/>
    <x v="3"/>
    <n v="41965"/>
    <n v="5"/>
    <n v="3.6"/>
    <n v="1"/>
    <x v="10"/>
  </r>
  <r>
    <x v="466"/>
    <s v="02/08/2025"/>
    <x v="4"/>
    <x v="20"/>
    <x v="0"/>
    <x v="1"/>
    <x v="3"/>
    <x v="3"/>
    <n v="3921"/>
    <n v="3"/>
    <n v="4.0999999999999996"/>
    <n v="2"/>
    <x v="3"/>
  </r>
  <r>
    <x v="467"/>
    <s v="13/05/2025"/>
    <x v="1"/>
    <x v="8"/>
    <x v="1"/>
    <x v="5"/>
    <x v="2"/>
    <x v="0"/>
    <n v="81800"/>
    <n v="8"/>
    <n v="3.2"/>
    <n v="5"/>
    <x v="0"/>
  </r>
  <r>
    <x v="468"/>
    <s v="21/12/2025"/>
    <x v="2"/>
    <x v="12"/>
    <x v="2"/>
    <x v="2"/>
    <x v="3"/>
    <x v="2"/>
    <n v="28296"/>
    <n v="3"/>
    <n v="4"/>
    <n v="6"/>
    <x v="8"/>
  </r>
  <r>
    <x v="469"/>
    <s v="18/11/2025"/>
    <x v="11"/>
    <x v="9"/>
    <x v="1"/>
    <x v="1"/>
    <x v="3"/>
    <x v="2"/>
    <n v="17940"/>
    <n v="3"/>
    <n v="4.7"/>
    <n v="5"/>
    <x v="11"/>
  </r>
  <r>
    <x v="470"/>
    <s v="15/03/2025"/>
    <x v="7"/>
    <x v="6"/>
    <x v="1"/>
    <x v="4"/>
    <x v="0"/>
    <x v="0"/>
    <n v="8744"/>
    <n v="1"/>
    <n v="3.9"/>
    <n v="3"/>
    <x v="6"/>
  </r>
  <r>
    <x v="471"/>
    <s v="02/08/2025"/>
    <x v="8"/>
    <x v="17"/>
    <x v="4"/>
    <x v="3"/>
    <x v="3"/>
    <x v="0"/>
    <n v="5816"/>
    <n v="8"/>
    <n v="3.8"/>
    <n v="6"/>
    <x v="3"/>
  </r>
  <r>
    <x v="472"/>
    <s v="02/03/2025"/>
    <x v="16"/>
    <x v="14"/>
    <x v="2"/>
    <x v="1"/>
    <x v="2"/>
    <x v="2"/>
    <n v="128788"/>
    <n v="4"/>
    <n v="3.6"/>
    <n v="2"/>
    <x v="6"/>
  </r>
  <r>
    <x v="473"/>
    <s v="09/08/2025"/>
    <x v="11"/>
    <x v="15"/>
    <x v="0"/>
    <x v="0"/>
    <x v="2"/>
    <x v="1"/>
    <n v="702"/>
    <n v="1"/>
    <n v="3.3"/>
    <n v="2"/>
    <x v="3"/>
  </r>
  <r>
    <x v="474"/>
    <s v="05/03/2025"/>
    <x v="6"/>
    <x v="0"/>
    <x v="0"/>
    <x v="2"/>
    <x v="3"/>
    <x v="0"/>
    <n v="6012"/>
    <n v="4"/>
    <n v="3.4"/>
    <n v="5"/>
    <x v="6"/>
  </r>
  <r>
    <x v="475"/>
    <s v="16/09/2025"/>
    <x v="10"/>
    <x v="9"/>
    <x v="1"/>
    <x v="0"/>
    <x v="2"/>
    <x v="0"/>
    <n v="7876"/>
    <n v="2"/>
    <n v="4.9000000000000004"/>
    <n v="3"/>
    <x v="5"/>
  </r>
  <r>
    <x v="476"/>
    <s v="07/07/2025"/>
    <x v="16"/>
    <x v="8"/>
    <x v="1"/>
    <x v="0"/>
    <x v="3"/>
    <x v="2"/>
    <n v="21057"/>
    <n v="3"/>
    <n v="4"/>
    <n v="4"/>
    <x v="4"/>
  </r>
  <r>
    <x v="477"/>
    <s v="24/09/2025"/>
    <x v="7"/>
    <x v="3"/>
    <x v="3"/>
    <x v="3"/>
    <x v="3"/>
    <x v="3"/>
    <n v="15792"/>
    <n v="3"/>
    <n v="3.3"/>
    <n v="8"/>
    <x v="5"/>
  </r>
  <r>
    <x v="478"/>
    <s v="18/12/2025"/>
    <x v="15"/>
    <x v="6"/>
    <x v="1"/>
    <x v="4"/>
    <x v="2"/>
    <x v="3"/>
    <n v="31144"/>
    <n v="8"/>
    <n v="4.7"/>
    <n v="8"/>
    <x v="8"/>
  </r>
  <r>
    <x v="479"/>
    <s v="13/08/2025"/>
    <x v="9"/>
    <x v="15"/>
    <x v="0"/>
    <x v="2"/>
    <x v="0"/>
    <x v="1"/>
    <n v="1088"/>
    <n v="2"/>
    <n v="5"/>
    <n v="3"/>
    <x v="3"/>
  </r>
  <r>
    <x v="480"/>
    <s v="04/03/2025"/>
    <x v="15"/>
    <x v="5"/>
    <x v="4"/>
    <x v="3"/>
    <x v="1"/>
    <x v="3"/>
    <n v="9176"/>
    <n v="4"/>
    <n v="3.7"/>
    <n v="7"/>
    <x v="6"/>
  </r>
  <r>
    <x v="481"/>
    <s v="17/03/2025"/>
    <x v="0"/>
    <x v="6"/>
    <x v="1"/>
    <x v="0"/>
    <x v="2"/>
    <x v="2"/>
    <n v="71576"/>
    <n v="8"/>
    <n v="3.6"/>
    <n v="3"/>
    <x v="6"/>
  </r>
  <r>
    <x v="482"/>
    <s v="02/04/2025"/>
    <x v="12"/>
    <x v="3"/>
    <x v="3"/>
    <x v="3"/>
    <x v="1"/>
    <x v="0"/>
    <n v="22260"/>
    <n v="7"/>
    <n v="4.3"/>
    <n v="2"/>
    <x v="2"/>
  </r>
  <r>
    <x v="483"/>
    <s v="09/09/2025"/>
    <x v="16"/>
    <x v="12"/>
    <x v="2"/>
    <x v="0"/>
    <x v="1"/>
    <x v="3"/>
    <n v="366740"/>
    <n v="5"/>
    <n v="4.9000000000000004"/>
    <n v="1"/>
    <x v="5"/>
  </r>
  <r>
    <x v="484"/>
    <s v="15/08/2025"/>
    <x v="1"/>
    <x v="12"/>
    <x v="2"/>
    <x v="3"/>
    <x v="1"/>
    <x v="0"/>
    <n v="205456"/>
    <n v="8"/>
    <n v="4.7"/>
    <n v="5"/>
    <x v="3"/>
  </r>
  <r>
    <x v="485"/>
    <s v="07/09/2025"/>
    <x v="12"/>
    <x v="12"/>
    <x v="2"/>
    <x v="0"/>
    <x v="1"/>
    <x v="1"/>
    <n v="150170"/>
    <n v="2"/>
    <n v="4"/>
    <n v="3"/>
    <x v="5"/>
  </r>
  <r>
    <x v="486"/>
    <s v="12/11/2025"/>
    <x v="15"/>
    <x v="11"/>
    <x v="3"/>
    <x v="1"/>
    <x v="2"/>
    <x v="1"/>
    <n v="5580"/>
    <n v="6"/>
    <n v="3.3"/>
    <n v="6"/>
    <x v="11"/>
  </r>
  <r>
    <x v="487"/>
    <s v="08/08/2025"/>
    <x v="3"/>
    <x v="3"/>
    <x v="3"/>
    <x v="5"/>
    <x v="2"/>
    <x v="2"/>
    <n v="6972"/>
    <n v="6"/>
    <n v="3.6"/>
    <n v="4"/>
    <x v="3"/>
  </r>
  <r>
    <x v="488"/>
    <s v="22/06/2025"/>
    <x v="6"/>
    <x v="14"/>
    <x v="2"/>
    <x v="5"/>
    <x v="1"/>
    <x v="1"/>
    <n v="135732"/>
    <n v="3"/>
    <n v="4.4000000000000004"/>
    <n v="7"/>
    <x v="9"/>
  </r>
  <r>
    <x v="489"/>
    <s v="29/10/2025"/>
    <x v="7"/>
    <x v="15"/>
    <x v="0"/>
    <x v="1"/>
    <x v="0"/>
    <x v="1"/>
    <n v="948"/>
    <n v="1"/>
    <n v="4.2"/>
    <n v="8"/>
    <x v="1"/>
  </r>
  <r>
    <x v="490"/>
    <s v="27/03/2025"/>
    <x v="10"/>
    <x v="4"/>
    <x v="3"/>
    <x v="4"/>
    <x v="3"/>
    <x v="1"/>
    <n v="23855"/>
    <n v="5"/>
    <n v="4.7"/>
    <n v="2"/>
    <x v="6"/>
  </r>
  <r>
    <x v="491"/>
    <s v="21/10/2025"/>
    <x v="6"/>
    <x v="20"/>
    <x v="0"/>
    <x v="5"/>
    <x v="1"/>
    <x v="3"/>
    <n v="5334"/>
    <n v="7"/>
    <n v="3.8"/>
    <n v="2"/>
    <x v="1"/>
  </r>
  <r>
    <x v="492"/>
    <s v="09/02/2025"/>
    <x v="11"/>
    <x v="13"/>
    <x v="4"/>
    <x v="5"/>
    <x v="1"/>
    <x v="0"/>
    <n v="7390"/>
    <n v="5"/>
    <n v="3.6"/>
    <n v="7"/>
    <x v="7"/>
  </r>
  <r>
    <x v="493"/>
    <s v="23/10/2025"/>
    <x v="6"/>
    <x v="10"/>
    <x v="0"/>
    <x v="1"/>
    <x v="2"/>
    <x v="0"/>
    <n v="5888"/>
    <n v="8"/>
    <n v="4.7"/>
    <n v="7"/>
    <x v="1"/>
  </r>
  <r>
    <x v="494"/>
    <s v="17/03/2025"/>
    <x v="19"/>
    <x v="12"/>
    <x v="2"/>
    <x v="3"/>
    <x v="3"/>
    <x v="1"/>
    <n v="238268"/>
    <n v="4"/>
    <n v="4.7"/>
    <n v="2"/>
    <x v="6"/>
  </r>
  <r>
    <x v="495"/>
    <s v="18/12/2025"/>
    <x v="17"/>
    <x v="13"/>
    <x v="4"/>
    <x v="3"/>
    <x v="1"/>
    <x v="3"/>
    <n v="4904"/>
    <n v="4"/>
    <n v="3.2"/>
    <n v="5"/>
    <x v="8"/>
  </r>
  <r>
    <x v="496"/>
    <s v="23/03/2025"/>
    <x v="14"/>
    <x v="10"/>
    <x v="0"/>
    <x v="0"/>
    <x v="2"/>
    <x v="2"/>
    <n v="2895"/>
    <n v="5"/>
    <n v="4.2"/>
    <n v="1"/>
    <x v="6"/>
  </r>
  <r>
    <x v="497"/>
    <s v="02/06/2025"/>
    <x v="12"/>
    <x v="19"/>
    <x v="2"/>
    <x v="1"/>
    <x v="3"/>
    <x v="3"/>
    <n v="28672"/>
    <n v="2"/>
    <n v="3.6"/>
    <n v="2"/>
    <x v="9"/>
  </r>
  <r>
    <x v="498"/>
    <s v="04/11/2025"/>
    <x v="8"/>
    <x v="10"/>
    <x v="0"/>
    <x v="0"/>
    <x v="0"/>
    <x v="0"/>
    <n v="1882"/>
    <n v="2"/>
    <n v="4.9000000000000004"/>
    <n v="4"/>
    <x v="11"/>
  </r>
  <r>
    <x v="499"/>
    <s v="29/07/2025"/>
    <x v="18"/>
    <x v="12"/>
    <x v="2"/>
    <x v="5"/>
    <x v="1"/>
    <x v="3"/>
    <n v="333860"/>
    <n v="5"/>
    <n v="4.5"/>
    <n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6402C2-5FD4-49A8-A336-FD3D9A0BAD17}" name="PivotTable2"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D3:E16" firstHeaderRow="1" firstDataRow="1" firstDataCol="1"/>
  <pivotFields count="13">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axis="axisRow" showAll="0">
      <items count="13">
        <item x="10"/>
        <item x="7"/>
        <item x="6"/>
        <item x="2"/>
        <item x="0"/>
        <item x="9"/>
        <item x="4"/>
        <item x="3"/>
        <item x="5"/>
        <item x="1"/>
        <item x="11"/>
        <item x="8"/>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Total Sales" fld="8" baseField="0" baseItem="0"/>
  </dataFields>
  <formats count="1">
    <format dxfId="0">
      <pivotArea collapsedLevelsAreSubtotals="1"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9C0C26-3D1D-45EC-9135-68BF3486E7DB}" name="PivotTable4"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J3:K8" firstHeaderRow="1" firstDataRow="1" firstDataCol="1"/>
  <pivotFields count="13">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items count="6">
        <item x="0"/>
        <item x="4"/>
        <item x="2"/>
        <item x="3"/>
        <item x="1"/>
        <item t="default"/>
      </items>
    </pivotField>
    <pivotField showAll="0"/>
    <pivotField showAll="0">
      <items count="5">
        <item x="2"/>
        <item x="0"/>
        <item x="3"/>
        <item x="1"/>
        <item t="default"/>
      </items>
    </pivotField>
    <pivotField axis="axisRow"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7"/>
  </rowFields>
  <rowItems count="5">
    <i>
      <x/>
    </i>
    <i>
      <x v="1"/>
    </i>
    <i>
      <x v="2"/>
    </i>
    <i>
      <x v="3"/>
    </i>
    <i t="grand">
      <x/>
    </i>
  </rowItems>
  <colItems count="1">
    <i/>
  </colItems>
  <dataFields count="1">
    <dataField name="Total Sales" fld="8" baseField="0" baseItem="0"/>
  </dataFields>
  <formats count="1">
    <format dxfId="1">
      <pivotArea collapsedLevelsAreSubtotals="1" fieldPosition="0">
        <references count="1">
          <reference field="4294967294" count="1">
            <x v="0"/>
          </reference>
        </references>
      </pivotArea>
    </format>
  </formats>
  <chartFormats count="1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1" format="5">
      <pivotArea type="data" outline="0" fieldPosition="0">
        <references count="2">
          <reference field="4294967294" count="1" selected="0">
            <x v="0"/>
          </reference>
          <reference field="7" count="1" selected="0">
            <x v="3"/>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7" count="1" selected="0">
            <x v="0"/>
          </reference>
        </references>
      </pivotArea>
    </chartFormat>
    <chartFormat chart="6" format="18">
      <pivotArea type="data" outline="0" fieldPosition="0">
        <references count="2">
          <reference field="4294967294" count="1" selected="0">
            <x v="0"/>
          </reference>
          <reference field="7" count="1" selected="0">
            <x v="1"/>
          </reference>
        </references>
      </pivotArea>
    </chartFormat>
    <chartFormat chart="6" format="19">
      <pivotArea type="data" outline="0" fieldPosition="0">
        <references count="2">
          <reference field="4294967294" count="1" selected="0">
            <x v="0"/>
          </reference>
          <reference field="7" count="1" selected="0">
            <x v="2"/>
          </reference>
        </references>
      </pivotArea>
    </chartFormat>
    <chartFormat chart="6" format="2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2BCABA-D9EE-4162-BBA8-6FE9A1B14EB2}" name="PivotTable6" cacheId="0" dataOnRows="1"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P3:T505" firstHeaderRow="2" firstDataRow="2" firstDataCol="4"/>
  <pivotFields count="13">
    <pivotField axis="axisRow" compact="0" outline="0" showAll="0" defaultSubtota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s>
    </pivotField>
    <pivotField compact="0" outline="0" showAll="0" defaultSubtotal="0"/>
    <pivotField axis="axisRow" compact="0" outline="0" showAll="0" defaultSubtotal="0">
      <items count="20">
        <item x="4"/>
        <item x="8"/>
        <item x="13"/>
        <item x="5"/>
        <item x="7"/>
        <item x="6"/>
        <item x="1"/>
        <item x="15"/>
        <item x="17"/>
        <item x="10"/>
        <item x="2"/>
        <item x="12"/>
        <item x="11"/>
        <item x="3"/>
        <item x="19"/>
        <item x="0"/>
        <item x="14"/>
        <item x="18"/>
        <item x="16"/>
        <item x="9"/>
      </items>
    </pivotField>
    <pivotField axis="axisRow" compact="0" outline="0" showAll="0" measureFilter="1" defaultSubtotal="0">
      <items count="21">
        <item x="12"/>
        <item x="6"/>
        <item x="5"/>
        <item x="1"/>
        <item x="13"/>
        <item x="20"/>
        <item x="2"/>
        <item x="4"/>
        <item x="8"/>
        <item x="14"/>
        <item x="15"/>
        <item x="16"/>
        <item x="9"/>
        <item x="17"/>
        <item x="10"/>
        <item x="7"/>
        <item x="0"/>
        <item x="3"/>
        <item x="19"/>
        <item x="18"/>
        <item x="11"/>
      </items>
    </pivotField>
    <pivotField axis="axisRow" compact="0" outline="0" showAll="0" defaultSubtotal="0">
      <items count="5">
        <item x="0"/>
        <item x="4"/>
        <item x="2"/>
        <item x="3"/>
        <item x="1"/>
      </items>
    </pivotField>
    <pivotField compact="0" outline="0" showAll="0" defaultSubtotal="0"/>
    <pivotField compact="0" outline="0" showAll="0" defaultSubtotal="0">
      <items count="4">
        <item x="2"/>
        <item x="0"/>
        <item x="3"/>
        <item x="1"/>
      </items>
    </pivotField>
    <pivotField compact="0" outline="0" showAll="0" defaultSubtotal="0">
      <items count="4">
        <item x="2"/>
        <item x="0"/>
        <item x="1"/>
        <item x="3"/>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12">
        <item x="10"/>
        <item x="7"/>
        <item x="6"/>
        <item x="2"/>
        <item x="0"/>
        <item x="9"/>
        <item x="4"/>
        <item x="3"/>
        <item x="5"/>
        <item x="1"/>
        <item x="11"/>
        <item x="8"/>
      </items>
    </pivotField>
  </pivotFields>
  <rowFields count="4">
    <field x="0"/>
    <field x="3"/>
    <field x="2"/>
    <field x="4"/>
  </rowFields>
  <rowItems count="501">
    <i>
      <x/>
      <x v="16"/>
      <x v="15"/>
      <x/>
    </i>
    <i>
      <x v="1"/>
      <x v="3"/>
      <x v="6"/>
      <x v="4"/>
    </i>
    <i>
      <x v="2"/>
      <x v="6"/>
      <x v="10"/>
      <x v="2"/>
    </i>
    <i>
      <x v="3"/>
      <x v="17"/>
      <x v="13"/>
      <x v="3"/>
    </i>
    <i>
      <x v="4"/>
      <x v="7"/>
      <x/>
      <x v="3"/>
    </i>
    <i>
      <x v="5"/>
      <x v="2"/>
      <x v="3"/>
      <x v="1"/>
    </i>
    <i>
      <x v="6"/>
      <x v="1"/>
      <x v="5"/>
      <x v="4"/>
    </i>
    <i>
      <x v="7"/>
      <x v="15"/>
      <x/>
      <x v="1"/>
    </i>
    <i>
      <x v="8"/>
      <x v="8"/>
      <x v="4"/>
      <x v="4"/>
    </i>
    <i>
      <x v="9"/>
      <x v="17"/>
      <x v="1"/>
      <x v="3"/>
    </i>
    <i>
      <x v="10"/>
      <x v="1"/>
      <x v="19"/>
      <x v="4"/>
    </i>
    <i>
      <x v="11"/>
      <x v="12"/>
      <x v="9"/>
      <x v="4"/>
    </i>
    <i>
      <x v="12"/>
      <x v="7"/>
      <x v="5"/>
      <x v="3"/>
    </i>
    <i>
      <x v="13"/>
      <x v="14"/>
      <x v="9"/>
      <x/>
    </i>
    <i>
      <x v="14"/>
      <x v="20"/>
      <x v="4"/>
      <x v="3"/>
    </i>
    <i>
      <x v="15"/>
      <x v="14"/>
      <x v="19"/>
      <x/>
    </i>
    <i>
      <x v="16"/>
      <x v="3"/>
      <x v="6"/>
      <x v="4"/>
    </i>
    <i>
      <x v="17"/>
      <x/>
      <x v="5"/>
      <x v="2"/>
    </i>
    <i>
      <x v="18"/>
      <x v="16"/>
      <x v="19"/>
      <x/>
    </i>
    <i>
      <x v="19"/>
      <x v="17"/>
      <x v="12"/>
      <x v="3"/>
    </i>
    <i>
      <x v="20"/>
      <x/>
      <x v="19"/>
      <x v="2"/>
    </i>
    <i>
      <x v="21"/>
      <x v="4"/>
      <x v="9"/>
      <x v="1"/>
    </i>
    <i>
      <x v="22"/>
      <x v="9"/>
      <x v="11"/>
      <x v="2"/>
    </i>
    <i>
      <x v="23"/>
      <x v="10"/>
      <x v="9"/>
      <x/>
    </i>
    <i>
      <x v="24"/>
      <x v="16"/>
      <x v="10"/>
      <x/>
    </i>
    <i>
      <x v="25"/>
      <x v="6"/>
      <x v="2"/>
      <x v="2"/>
    </i>
    <i>
      <x v="26"/>
      <x v="14"/>
      <x v="16"/>
      <x/>
    </i>
    <i>
      <x v="27"/>
      <x v="11"/>
      <x v="7"/>
      <x v="2"/>
    </i>
    <i>
      <x v="28"/>
      <x v="16"/>
      <x v="18"/>
      <x/>
    </i>
    <i>
      <x v="29"/>
      <x v="12"/>
      <x v="7"/>
      <x v="4"/>
    </i>
    <i>
      <x v="30"/>
      <x v="1"/>
      <x v="13"/>
      <x v="4"/>
    </i>
    <i>
      <x v="31"/>
      <x v="20"/>
      <x v="18"/>
      <x v="3"/>
    </i>
    <i>
      <x v="32"/>
      <x v="20"/>
      <x v="19"/>
      <x v="3"/>
    </i>
    <i>
      <x v="33"/>
      <x v="15"/>
      <x v="3"/>
      <x v="1"/>
    </i>
    <i>
      <x v="34"/>
      <x v="13"/>
      <x v="8"/>
      <x v="1"/>
    </i>
    <i>
      <x v="35"/>
      <x v="20"/>
      <x v="11"/>
      <x v="3"/>
    </i>
    <i>
      <x v="36"/>
      <x v="17"/>
      <x v="3"/>
      <x v="3"/>
    </i>
    <i>
      <x v="37"/>
      <x v="10"/>
      <x v="5"/>
      <x/>
    </i>
    <i>
      <x v="38"/>
      <x v="17"/>
      <x v="2"/>
      <x v="3"/>
    </i>
    <i>
      <x v="39"/>
      <x v="10"/>
      <x v="5"/>
      <x/>
    </i>
    <i>
      <x v="40"/>
      <x v="19"/>
      <x v="3"/>
      <x v="3"/>
    </i>
    <i>
      <x v="41"/>
      <x v="10"/>
      <x v="15"/>
      <x/>
    </i>
    <i>
      <x v="42"/>
      <x v="2"/>
      <x v="6"/>
      <x v="1"/>
    </i>
    <i>
      <x v="43"/>
      <x v="18"/>
      <x/>
      <x v="2"/>
    </i>
    <i>
      <x v="44"/>
      <x v="8"/>
      <x v="18"/>
      <x v="4"/>
    </i>
    <i>
      <x v="45"/>
      <x v="19"/>
      <x v="17"/>
      <x v="3"/>
    </i>
    <i>
      <x v="46"/>
      <x v="19"/>
      <x v="12"/>
      <x v="3"/>
    </i>
    <i>
      <x v="47"/>
      <x v="3"/>
      <x v="16"/>
      <x v="4"/>
    </i>
    <i>
      <x v="48"/>
      <x v="6"/>
      <x v="7"/>
      <x v="2"/>
    </i>
    <i>
      <x v="49"/>
      <x v="11"/>
      <x v="14"/>
      <x v="2"/>
    </i>
    <i>
      <x v="50"/>
      <x v="1"/>
      <x v="12"/>
      <x v="4"/>
    </i>
    <i>
      <x v="51"/>
      <x v="2"/>
      <x v="12"/>
      <x v="1"/>
    </i>
    <i>
      <x v="52"/>
      <x v="20"/>
      <x v="9"/>
      <x v="3"/>
    </i>
    <i>
      <x v="53"/>
      <x v="20"/>
      <x v="19"/>
      <x v="3"/>
    </i>
    <i>
      <x v="54"/>
      <x v="3"/>
      <x v="13"/>
      <x v="4"/>
    </i>
    <i>
      <x v="55"/>
      <x v="4"/>
      <x v="1"/>
      <x v="1"/>
    </i>
    <i>
      <x v="56"/>
      <x v="18"/>
      <x v="8"/>
      <x v="2"/>
    </i>
    <i>
      <x v="57"/>
      <x v="18"/>
      <x v="5"/>
      <x v="2"/>
    </i>
    <i>
      <x v="58"/>
      <x v="8"/>
      <x v="17"/>
      <x v="4"/>
    </i>
    <i>
      <x v="59"/>
      <x/>
      <x v="17"/>
      <x v="2"/>
    </i>
    <i>
      <x v="60"/>
      <x v="8"/>
      <x v="14"/>
      <x v="4"/>
    </i>
    <i>
      <x v="61"/>
      <x v="20"/>
      <x v="19"/>
      <x v="3"/>
    </i>
    <i>
      <x v="62"/>
      <x v="14"/>
      <x v="3"/>
      <x/>
    </i>
    <i>
      <x v="63"/>
      <x/>
      <x v="1"/>
      <x v="2"/>
    </i>
    <i>
      <x v="64"/>
      <x v="18"/>
      <x v="10"/>
      <x v="2"/>
    </i>
    <i>
      <x v="65"/>
      <x v="19"/>
      <x v="4"/>
      <x v="3"/>
    </i>
    <i>
      <x v="66"/>
      <x v="2"/>
      <x v="17"/>
      <x v="1"/>
    </i>
    <i>
      <x v="67"/>
      <x v="17"/>
      <x v="8"/>
      <x v="3"/>
    </i>
    <i>
      <x v="68"/>
      <x v="5"/>
      <x v="6"/>
      <x/>
    </i>
    <i>
      <x v="69"/>
      <x v="12"/>
      <x v="13"/>
      <x v="4"/>
    </i>
    <i>
      <x v="70"/>
      <x v="7"/>
      <x v="16"/>
      <x v="3"/>
    </i>
    <i>
      <x v="71"/>
      <x v="1"/>
      <x/>
      <x v="4"/>
    </i>
    <i>
      <x v="72"/>
      <x v="4"/>
      <x v="13"/>
      <x v="1"/>
    </i>
    <i>
      <x v="73"/>
      <x v="13"/>
      <x v="11"/>
      <x v="1"/>
    </i>
    <i>
      <x v="74"/>
      <x/>
      <x v="9"/>
      <x v="2"/>
    </i>
    <i>
      <x v="75"/>
      <x v="5"/>
      <x v="4"/>
      <x/>
    </i>
    <i>
      <x v="76"/>
      <x v="5"/>
      <x v="10"/>
      <x/>
    </i>
    <i>
      <x v="77"/>
      <x v="16"/>
      <x v="18"/>
      <x/>
    </i>
    <i>
      <x v="78"/>
      <x v="8"/>
      <x v="4"/>
      <x v="4"/>
    </i>
    <i>
      <x v="79"/>
      <x v="10"/>
      <x v="10"/>
      <x/>
    </i>
    <i>
      <x v="80"/>
      <x v="12"/>
      <x v="12"/>
      <x v="4"/>
    </i>
    <i>
      <x v="81"/>
      <x v="13"/>
      <x v="12"/>
      <x v="1"/>
    </i>
    <i>
      <x v="82"/>
      <x v="3"/>
      <x/>
      <x v="4"/>
    </i>
    <i>
      <x v="83"/>
      <x v="16"/>
      <x/>
      <x/>
    </i>
    <i>
      <x v="84"/>
      <x v="18"/>
      <x v="4"/>
      <x v="2"/>
    </i>
    <i>
      <x v="85"/>
      <x v="19"/>
      <x v="7"/>
      <x v="3"/>
    </i>
    <i>
      <x v="86"/>
      <x v="16"/>
      <x v="4"/>
      <x/>
    </i>
    <i>
      <x v="87"/>
      <x v="5"/>
      <x v="2"/>
      <x/>
    </i>
    <i>
      <x v="88"/>
      <x v="5"/>
      <x v="17"/>
      <x/>
    </i>
    <i>
      <x v="89"/>
      <x v="2"/>
      <x v="17"/>
      <x v="1"/>
    </i>
    <i>
      <x v="90"/>
      <x v="18"/>
      <x v="8"/>
      <x v="2"/>
    </i>
    <i>
      <x v="91"/>
      <x v="8"/>
      <x v="11"/>
      <x v="4"/>
    </i>
    <i>
      <x v="92"/>
      <x v="2"/>
      <x v="17"/>
      <x v="1"/>
    </i>
    <i>
      <x v="93"/>
      <x v="19"/>
      <x v="3"/>
      <x v="3"/>
    </i>
    <i>
      <x v="94"/>
      <x v="10"/>
      <x v="3"/>
      <x/>
    </i>
    <i>
      <x v="95"/>
      <x v="8"/>
      <x v="3"/>
      <x v="4"/>
    </i>
    <i>
      <x v="96"/>
      <x v="6"/>
      <x v="2"/>
      <x v="2"/>
    </i>
    <i>
      <x v="97"/>
      <x v="15"/>
      <x v="5"/>
      <x v="1"/>
    </i>
    <i>
      <x v="98"/>
      <x v="2"/>
      <x v="13"/>
      <x v="1"/>
    </i>
    <i>
      <x v="99"/>
      <x v="5"/>
      <x v="8"/>
      <x/>
    </i>
    <i>
      <x v="100"/>
      <x v="8"/>
      <x v="10"/>
      <x v="4"/>
    </i>
    <i>
      <x v="101"/>
      <x v="12"/>
      <x v="19"/>
      <x v="4"/>
    </i>
    <i>
      <x v="102"/>
      <x v="11"/>
      <x v="1"/>
      <x v="2"/>
    </i>
    <i>
      <x v="103"/>
      <x v="8"/>
      <x v="15"/>
      <x v="4"/>
    </i>
    <i>
      <x v="104"/>
      <x v="4"/>
      <x v="11"/>
      <x v="1"/>
    </i>
    <i>
      <x v="105"/>
      <x v="12"/>
      <x v="18"/>
      <x v="4"/>
    </i>
    <i>
      <x v="106"/>
      <x v="1"/>
      <x v="8"/>
      <x v="4"/>
    </i>
    <i>
      <x v="107"/>
      <x v="15"/>
      <x v="13"/>
      <x v="1"/>
    </i>
    <i>
      <x v="108"/>
      <x v="19"/>
      <x v="2"/>
      <x v="3"/>
    </i>
    <i>
      <x v="109"/>
      <x v="13"/>
      <x v="1"/>
      <x v="1"/>
    </i>
    <i>
      <x v="110"/>
      <x v="3"/>
      <x v="13"/>
      <x v="4"/>
    </i>
    <i>
      <x v="111"/>
      <x v="14"/>
      <x v="1"/>
      <x/>
    </i>
    <i>
      <x v="112"/>
      <x v="1"/>
      <x v="3"/>
      <x v="4"/>
    </i>
    <i>
      <x v="113"/>
      <x v="11"/>
      <x v="1"/>
      <x v="2"/>
    </i>
    <i>
      <x v="114"/>
      <x v="2"/>
      <x v="10"/>
      <x v="1"/>
    </i>
    <i>
      <x v="115"/>
      <x v="18"/>
      <x v="17"/>
      <x v="2"/>
    </i>
    <i>
      <x v="116"/>
      <x v="20"/>
      <x v="19"/>
      <x v="3"/>
    </i>
    <i>
      <x v="117"/>
      <x v="19"/>
      <x/>
      <x v="3"/>
    </i>
    <i>
      <x v="118"/>
      <x v="7"/>
      <x v="19"/>
      <x v="3"/>
    </i>
    <i>
      <x v="119"/>
      <x v="12"/>
      <x v="7"/>
      <x v="4"/>
    </i>
    <i>
      <x v="120"/>
      <x v="7"/>
      <x v="2"/>
      <x v="3"/>
    </i>
    <i>
      <x v="121"/>
      <x v="20"/>
      <x v="14"/>
      <x v="3"/>
    </i>
    <i>
      <x v="122"/>
      <x v="19"/>
      <x v="6"/>
      <x v="3"/>
    </i>
    <i>
      <x v="123"/>
      <x v="12"/>
      <x v="8"/>
      <x v="4"/>
    </i>
    <i>
      <x v="124"/>
      <x v="5"/>
      <x v="19"/>
      <x/>
    </i>
    <i>
      <x v="125"/>
      <x v="15"/>
      <x v="17"/>
      <x v="1"/>
    </i>
    <i>
      <x v="126"/>
      <x v="1"/>
      <x v="11"/>
      <x v="4"/>
    </i>
    <i>
      <x v="127"/>
      <x v="4"/>
      <x v="5"/>
      <x v="1"/>
    </i>
    <i>
      <x v="128"/>
      <x v="1"/>
      <x v="6"/>
      <x v="4"/>
    </i>
    <i>
      <x v="129"/>
      <x v="19"/>
      <x v="17"/>
      <x v="3"/>
    </i>
    <i>
      <x v="130"/>
      <x/>
      <x v="17"/>
      <x v="2"/>
    </i>
    <i>
      <x v="131"/>
      <x v="2"/>
      <x v="2"/>
      <x v="1"/>
    </i>
    <i>
      <x v="132"/>
      <x v="5"/>
      <x v="7"/>
      <x/>
    </i>
    <i>
      <x v="133"/>
      <x v="17"/>
      <x/>
      <x v="3"/>
    </i>
    <i>
      <x v="134"/>
      <x v="10"/>
      <x v="10"/>
      <x/>
    </i>
    <i>
      <x v="135"/>
      <x v="20"/>
      <x v="5"/>
      <x v="3"/>
    </i>
    <i>
      <x v="136"/>
      <x v="17"/>
      <x/>
      <x v="3"/>
    </i>
    <i>
      <x v="137"/>
      <x v="10"/>
      <x v="17"/>
      <x/>
    </i>
    <i>
      <x v="138"/>
      <x v="2"/>
      <x v="11"/>
      <x v="1"/>
    </i>
    <i>
      <x v="139"/>
      <x v="7"/>
      <x v="9"/>
      <x v="3"/>
    </i>
    <i>
      <x v="140"/>
      <x v="6"/>
      <x v="3"/>
      <x v="2"/>
    </i>
    <i>
      <x v="141"/>
      <x v="5"/>
      <x v="9"/>
      <x/>
    </i>
    <i>
      <x v="142"/>
      <x v="14"/>
      <x v="17"/>
      <x/>
    </i>
    <i>
      <x v="143"/>
      <x v="13"/>
      <x v="19"/>
      <x v="1"/>
    </i>
    <i>
      <x v="144"/>
      <x v="2"/>
      <x v="17"/>
      <x v="1"/>
    </i>
    <i>
      <x v="145"/>
      <x v="2"/>
      <x v="15"/>
      <x v="1"/>
    </i>
    <i>
      <x v="146"/>
      <x v="12"/>
      <x v="1"/>
      <x v="4"/>
    </i>
    <i>
      <x v="147"/>
      <x v="5"/>
      <x v="12"/>
      <x/>
    </i>
    <i>
      <x v="148"/>
      <x v="16"/>
      <x v="7"/>
      <x/>
    </i>
    <i>
      <x v="149"/>
      <x v="2"/>
      <x v="2"/>
      <x v="1"/>
    </i>
    <i>
      <x v="150"/>
      <x v="1"/>
      <x v="17"/>
      <x v="4"/>
    </i>
    <i>
      <x v="151"/>
      <x v="2"/>
      <x v="9"/>
      <x v="1"/>
    </i>
    <i>
      <x v="152"/>
      <x v="7"/>
      <x v="19"/>
      <x v="3"/>
    </i>
    <i>
      <x v="153"/>
      <x v="19"/>
      <x v="7"/>
      <x v="3"/>
    </i>
    <i>
      <x v="154"/>
      <x v="12"/>
      <x v="2"/>
      <x v="4"/>
    </i>
    <i>
      <x v="155"/>
      <x v="6"/>
      <x/>
      <x v="2"/>
    </i>
    <i>
      <x v="156"/>
      <x v="13"/>
      <x v="2"/>
      <x v="1"/>
    </i>
    <i>
      <x v="157"/>
      <x v="4"/>
      <x v="18"/>
      <x v="1"/>
    </i>
    <i>
      <x v="158"/>
      <x/>
      <x v="2"/>
      <x v="2"/>
    </i>
    <i>
      <x v="159"/>
      <x v="17"/>
      <x v="19"/>
      <x v="3"/>
    </i>
    <i>
      <x v="160"/>
      <x v="12"/>
      <x v="16"/>
      <x v="4"/>
    </i>
    <i>
      <x v="161"/>
      <x v="14"/>
      <x v="13"/>
      <x/>
    </i>
    <i>
      <x v="162"/>
      <x v="11"/>
      <x v="10"/>
      <x v="2"/>
    </i>
    <i>
      <x v="163"/>
      <x v="5"/>
      <x v="16"/>
      <x/>
    </i>
    <i>
      <x v="164"/>
      <x v="20"/>
      <x v="11"/>
      <x v="3"/>
    </i>
    <i>
      <x v="165"/>
      <x v="10"/>
      <x/>
      <x/>
    </i>
    <i>
      <x v="166"/>
      <x v="16"/>
      <x v="11"/>
      <x/>
    </i>
    <i>
      <x v="167"/>
      <x v="16"/>
      <x v="3"/>
      <x/>
    </i>
    <i>
      <x v="168"/>
      <x v="19"/>
      <x v="10"/>
      <x v="3"/>
    </i>
    <i>
      <x v="169"/>
      <x v="10"/>
      <x v="12"/>
      <x/>
    </i>
    <i>
      <x v="170"/>
      <x v="3"/>
      <x v="6"/>
      <x v="4"/>
    </i>
    <i>
      <x v="171"/>
      <x v="1"/>
      <x v="19"/>
      <x v="4"/>
    </i>
    <i>
      <x v="172"/>
      <x v="5"/>
      <x v="19"/>
      <x/>
    </i>
    <i>
      <x v="173"/>
      <x v="16"/>
      <x v="13"/>
      <x/>
    </i>
    <i>
      <x v="174"/>
      <x v="14"/>
      <x v="19"/>
      <x/>
    </i>
    <i>
      <x v="175"/>
      <x v="17"/>
      <x v="6"/>
      <x v="3"/>
    </i>
    <i>
      <x v="176"/>
      <x/>
      <x v="7"/>
      <x v="2"/>
    </i>
    <i>
      <x v="177"/>
      <x v="12"/>
      <x v="17"/>
      <x v="4"/>
    </i>
    <i>
      <x v="178"/>
      <x v="12"/>
      <x v="13"/>
      <x v="4"/>
    </i>
    <i>
      <x v="179"/>
      <x/>
      <x v="9"/>
      <x v="2"/>
    </i>
    <i>
      <x v="180"/>
      <x v="7"/>
      <x v="18"/>
      <x v="3"/>
    </i>
    <i>
      <x v="181"/>
      <x v="8"/>
      <x v="9"/>
      <x v="4"/>
    </i>
    <i>
      <x v="182"/>
      <x v="4"/>
      <x v="2"/>
      <x v="1"/>
    </i>
    <i>
      <x v="183"/>
      <x/>
      <x v="4"/>
      <x v="2"/>
    </i>
    <i>
      <x v="184"/>
      <x v="11"/>
      <x v="17"/>
      <x v="2"/>
    </i>
    <i>
      <x v="185"/>
      <x v="16"/>
      <x v="9"/>
      <x/>
    </i>
    <i>
      <x v="186"/>
      <x v="19"/>
      <x v="15"/>
      <x v="3"/>
    </i>
    <i>
      <x v="187"/>
      <x v="9"/>
      <x v="16"/>
      <x v="2"/>
    </i>
    <i>
      <x v="188"/>
      <x v="8"/>
      <x/>
      <x v="4"/>
    </i>
    <i>
      <x v="189"/>
      <x v="9"/>
      <x v="5"/>
      <x v="2"/>
    </i>
    <i>
      <x v="190"/>
      <x v="19"/>
      <x v="7"/>
      <x v="3"/>
    </i>
    <i>
      <x v="191"/>
      <x v="2"/>
      <x v="2"/>
      <x v="1"/>
    </i>
    <i>
      <x v="192"/>
      <x v="4"/>
      <x v="9"/>
      <x v="1"/>
    </i>
    <i>
      <x v="193"/>
      <x v="12"/>
      <x v="8"/>
      <x v="4"/>
    </i>
    <i>
      <x v="194"/>
      <x v="1"/>
      <x/>
      <x v="4"/>
    </i>
    <i>
      <x v="195"/>
      <x v="11"/>
      <x v="1"/>
      <x v="2"/>
    </i>
    <i>
      <x v="196"/>
      <x v="2"/>
      <x v="3"/>
      <x v="1"/>
    </i>
    <i>
      <x v="197"/>
      <x v="20"/>
      <x v="9"/>
      <x v="3"/>
    </i>
    <i>
      <x v="198"/>
      <x v="2"/>
      <x v="17"/>
      <x v="1"/>
    </i>
    <i>
      <x v="199"/>
      <x v="10"/>
      <x v="13"/>
      <x/>
    </i>
    <i>
      <x v="200"/>
      <x v="11"/>
      <x v="18"/>
      <x v="2"/>
    </i>
    <i>
      <x v="201"/>
      <x v="14"/>
      <x v="4"/>
      <x/>
    </i>
    <i>
      <x v="202"/>
      <x v="14"/>
      <x v="3"/>
      <x/>
    </i>
    <i>
      <x v="203"/>
      <x v="3"/>
      <x v="14"/>
      <x v="4"/>
    </i>
    <i>
      <x v="204"/>
      <x v="10"/>
      <x v="15"/>
      <x/>
    </i>
    <i>
      <x v="205"/>
      <x v="12"/>
      <x/>
      <x v="4"/>
    </i>
    <i>
      <x v="206"/>
      <x v="6"/>
      <x v="15"/>
      <x v="2"/>
    </i>
    <i>
      <x v="207"/>
      <x v="10"/>
      <x v="12"/>
      <x/>
    </i>
    <i>
      <x v="208"/>
      <x v="12"/>
      <x v="18"/>
      <x v="4"/>
    </i>
    <i>
      <x v="209"/>
      <x v="6"/>
      <x v="6"/>
      <x v="2"/>
    </i>
    <i>
      <x v="210"/>
      <x v="16"/>
      <x v="8"/>
      <x/>
    </i>
    <i>
      <x v="211"/>
      <x v="19"/>
      <x v="10"/>
      <x v="3"/>
    </i>
    <i>
      <x v="212"/>
      <x v="7"/>
      <x v="17"/>
      <x v="3"/>
    </i>
    <i>
      <x v="213"/>
      <x v="16"/>
      <x v="17"/>
      <x/>
    </i>
    <i>
      <x v="214"/>
      <x v="6"/>
      <x v="9"/>
      <x v="2"/>
    </i>
    <i>
      <x v="215"/>
      <x v="17"/>
      <x v="4"/>
      <x v="3"/>
    </i>
    <i>
      <x v="216"/>
      <x v="17"/>
      <x v="8"/>
      <x v="3"/>
    </i>
    <i>
      <x v="217"/>
      <x v="12"/>
      <x v="3"/>
      <x v="4"/>
    </i>
    <i>
      <x v="218"/>
      <x v="7"/>
      <x v="8"/>
      <x v="3"/>
    </i>
    <i>
      <x v="219"/>
      <x v="1"/>
      <x/>
      <x v="4"/>
    </i>
    <i>
      <x v="220"/>
      <x v="13"/>
      <x v="15"/>
      <x v="1"/>
    </i>
    <i>
      <x v="221"/>
      <x v="10"/>
      <x v="7"/>
      <x/>
    </i>
    <i>
      <x v="222"/>
      <x v="16"/>
      <x v="10"/>
      <x/>
    </i>
    <i>
      <x v="223"/>
      <x v="17"/>
      <x v="10"/>
      <x v="3"/>
    </i>
    <i>
      <x v="224"/>
      <x v="20"/>
      <x v="9"/>
      <x v="3"/>
    </i>
    <i>
      <x v="225"/>
      <x v="20"/>
      <x v="12"/>
      <x v="3"/>
    </i>
    <i>
      <x v="226"/>
      <x v="12"/>
      <x v="5"/>
      <x v="4"/>
    </i>
    <i>
      <x v="227"/>
      <x v="15"/>
      <x v="5"/>
      <x v="1"/>
    </i>
    <i>
      <x v="228"/>
      <x v="2"/>
      <x v="17"/>
      <x v="1"/>
    </i>
    <i>
      <x v="229"/>
      <x v="6"/>
      <x v="19"/>
      <x v="2"/>
    </i>
    <i>
      <x v="230"/>
      <x v="11"/>
      <x v="2"/>
      <x v="2"/>
    </i>
    <i>
      <x v="231"/>
      <x v="11"/>
      <x/>
      <x v="2"/>
    </i>
    <i>
      <x v="232"/>
      <x v="4"/>
      <x v="8"/>
      <x v="1"/>
    </i>
    <i>
      <x v="233"/>
      <x v="13"/>
      <x v="18"/>
      <x v="1"/>
    </i>
    <i>
      <x v="234"/>
      <x v="8"/>
      <x v="13"/>
      <x v="4"/>
    </i>
    <i>
      <x v="235"/>
      <x v="16"/>
      <x v="15"/>
      <x/>
    </i>
    <i>
      <x v="236"/>
      <x v="13"/>
      <x v="13"/>
      <x v="1"/>
    </i>
    <i>
      <x v="237"/>
      <x v="20"/>
      <x v="14"/>
      <x v="3"/>
    </i>
    <i>
      <x v="238"/>
      <x v="4"/>
      <x v="19"/>
      <x v="1"/>
    </i>
    <i>
      <x v="239"/>
      <x/>
      <x v="5"/>
      <x v="2"/>
    </i>
    <i>
      <x v="240"/>
      <x v="5"/>
      <x v="9"/>
      <x/>
    </i>
    <i>
      <x v="241"/>
      <x v="7"/>
      <x v="4"/>
      <x v="3"/>
    </i>
    <i>
      <x v="242"/>
      <x v="15"/>
      <x v="17"/>
      <x v="1"/>
    </i>
    <i>
      <x v="243"/>
      <x v="20"/>
      <x v="4"/>
      <x v="3"/>
    </i>
    <i>
      <x v="244"/>
      <x v="3"/>
      <x v="5"/>
      <x v="4"/>
    </i>
    <i>
      <x v="245"/>
      <x v="4"/>
      <x v="16"/>
      <x v="1"/>
    </i>
    <i>
      <x v="246"/>
      <x v="11"/>
      <x v="17"/>
      <x v="2"/>
    </i>
    <i>
      <x v="247"/>
      <x v="2"/>
      <x v="13"/>
      <x v="1"/>
    </i>
    <i>
      <x v="248"/>
      <x v="3"/>
      <x v="14"/>
      <x v="4"/>
    </i>
    <i>
      <x v="249"/>
      <x v="8"/>
      <x v="16"/>
      <x v="4"/>
    </i>
    <i>
      <x v="250"/>
      <x v="4"/>
      <x v="2"/>
      <x v="1"/>
    </i>
    <i>
      <x v="251"/>
      <x/>
      <x v="2"/>
      <x v="2"/>
    </i>
    <i>
      <x v="252"/>
      <x v="20"/>
      <x v="5"/>
      <x v="3"/>
    </i>
    <i>
      <x v="253"/>
      <x v="1"/>
      <x v="12"/>
      <x v="4"/>
    </i>
    <i>
      <x v="254"/>
      <x v="15"/>
      <x v="12"/>
      <x v="1"/>
    </i>
    <i>
      <x v="255"/>
      <x v="14"/>
      <x v="9"/>
      <x/>
    </i>
    <i>
      <x v="256"/>
      <x v="19"/>
      <x v="18"/>
      <x v="3"/>
    </i>
    <i>
      <x v="257"/>
      <x v="1"/>
      <x v="11"/>
      <x v="4"/>
    </i>
    <i>
      <x v="258"/>
      <x v="17"/>
      <x v="19"/>
      <x v="3"/>
    </i>
    <i>
      <x v="259"/>
      <x v="9"/>
      <x v="1"/>
      <x v="2"/>
    </i>
    <i>
      <x v="260"/>
      <x v="20"/>
      <x v="11"/>
      <x v="3"/>
    </i>
    <i>
      <x v="261"/>
      <x v="15"/>
      <x v="19"/>
      <x v="1"/>
    </i>
    <i>
      <x v="262"/>
      <x v="7"/>
      <x v="15"/>
      <x v="3"/>
    </i>
    <i>
      <x v="263"/>
      <x v="13"/>
      <x/>
      <x v="1"/>
    </i>
    <i>
      <x v="264"/>
      <x v="16"/>
      <x v="15"/>
      <x/>
    </i>
    <i>
      <x v="265"/>
      <x v="1"/>
      <x v="16"/>
      <x v="4"/>
    </i>
    <i>
      <x v="266"/>
      <x v="12"/>
      <x v="17"/>
      <x v="4"/>
    </i>
    <i>
      <x v="267"/>
      <x v="16"/>
      <x v="8"/>
      <x/>
    </i>
    <i>
      <x v="268"/>
      <x v="16"/>
      <x v="15"/>
      <x/>
    </i>
    <i>
      <x v="269"/>
      <x/>
      <x v="12"/>
      <x v="2"/>
    </i>
    <i>
      <x v="270"/>
      <x v="13"/>
      <x v="6"/>
      <x v="1"/>
    </i>
    <i>
      <x v="271"/>
      <x v="3"/>
      <x v="17"/>
      <x v="4"/>
    </i>
    <i>
      <x v="272"/>
      <x v="3"/>
      <x v="15"/>
      <x v="4"/>
    </i>
    <i>
      <x v="273"/>
      <x v="19"/>
      <x v="3"/>
      <x v="3"/>
    </i>
    <i>
      <x v="274"/>
      <x v="20"/>
      <x v="18"/>
      <x v="3"/>
    </i>
    <i>
      <x v="275"/>
      <x v="1"/>
      <x v="17"/>
      <x v="4"/>
    </i>
    <i>
      <x v="276"/>
      <x v="17"/>
      <x v="4"/>
      <x v="3"/>
    </i>
    <i>
      <x v="277"/>
      <x v="2"/>
      <x v="17"/>
      <x v="1"/>
    </i>
    <i>
      <x v="278"/>
      <x v="3"/>
      <x v="9"/>
      <x v="4"/>
    </i>
    <i>
      <x v="279"/>
      <x v="12"/>
      <x v="12"/>
      <x v="4"/>
    </i>
    <i>
      <x v="280"/>
      <x v="19"/>
      <x v="14"/>
      <x v="3"/>
    </i>
    <i>
      <x v="281"/>
      <x v="15"/>
      <x v="9"/>
      <x v="1"/>
    </i>
    <i>
      <x v="282"/>
      <x v="3"/>
      <x v="13"/>
      <x v="4"/>
    </i>
    <i>
      <x v="283"/>
      <x v="5"/>
      <x v="9"/>
      <x/>
    </i>
    <i>
      <x v="284"/>
      <x v="10"/>
      <x/>
      <x/>
    </i>
    <i>
      <x v="285"/>
      <x v="12"/>
      <x v="3"/>
      <x v="4"/>
    </i>
    <i>
      <x v="286"/>
      <x v="1"/>
      <x v="10"/>
      <x v="4"/>
    </i>
    <i>
      <x v="287"/>
      <x v="1"/>
      <x v="18"/>
      <x v="4"/>
    </i>
    <i>
      <x v="288"/>
      <x v="6"/>
      <x v="4"/>
      <x v="2"/>
    </i>
    <i>
      <x v="289"/>
      <x v="15"/>
      <x v="11"/>
      <x v="1"/>
    </i>
    <i>
      <x v="290"/>
      <x v="5"/>
      <x v="19"/>
      <x/>
    </i>
    <i>
      <x v="291"/>
      <x v="14"/>
      <x v="19"/>
      <x/>
    </i>
    <i>
      <x v="292"/>
      <x v="18"/>
      <x v="15"/>
      <x v="2"/>
    </i>
    <i>
      <x v="293"/>
      <x v="3"/>
      <x/>
      <x v="4"/>
    </i>
    <i>
      <x v="294"/>
      <x v="20"/>
      <x v="1"/>
      <x v="3"/>
    </i>
    <i>
      <x v="295"/>
      <x v="12"/>
      <x v="14"/>
      <x v="4"/>
    </i>
    <i>
      <x v="296"/>
      <x v="15"/>
      <x v="9"/>
      <x v="1"/>
    </i>
    <i>
      <x v="297"/>
      <x v="9"/>
      <x v="14"/>
      <x v="2"/>
    </i>
    <i>
      <x v="298"/>
      <x v="18"/>
      <x v="6"/>
      <x v="2"/>
    </i>
    <i>
      <x v="299"/>
      <x v="2"/>
      <x v="16"/>
      <x v="1"/>
    </i>
    <i>
      <x v="300"/>
      <x v="3"/>
      <x v="11"/>
      <x v="4"/>
    </i>
    <i>
      <x v="301"/>
      <x v="12"/>
      <x v="1"/>
      <x v="4"/>
    </i>
    <i>
      <x v="302"/>
      <x v="18"/>
      <x v="16"/>
      <x v="2"/>
    </i>
    <i>
      <x v="303"/>
      <x v="19"/>
      <x v="3"/>
      <x v="3"/>
    </i>
    <i>
      <x v="304"/>
      <x v="5"/>
      <x v="5"/>
      <x/>
    </i>
    <i>
      <x v="305"/>
      <x v="19"/>
      <x v="8"/>
      <x v="3"/>
    </i>
    <i>
      <x v="306"/>
      <x v="1"/>
      <x v="17"/>
      <x v="4"/>
    </i>
    <i>
      <x v="307"/>
      <x v="20"/>
      <x v="1"/>
      <x v="3"/>
    </i>
    <i>
      <x v="308"/>
      <x v="14"/>
      <x v="19"/>
      <x/>
    </i>
    <i>
      <x v="309"/>
      <x v="19"/>
      <x v="6"/>
      <x v="3"/>
    </i>
    <i>
      <x v="310"/>
      <x v="3"/>
      <x v="1"/>
      <x v="4"/>
    </i>
    <i>
      <x v="311"/>
      <x v="17"/>
      <x v="11"/>
      <x v="3"/>
    </i>
    <i>
      <x v="312"/>
      <x v="8"/>
      <x v="16"/>
      <x v="4"/>
    </i>
    <i>
      <x v="313"/>
      <x v="8"/>
      <x v="14"/>
      <x v="4"/>
    </i>
    <i>
      <x v="314"/>
      <x v="9"/>
      <x v="3"/>
      <x v="2"/>
    </i>
    <i>
      <x v="315"/>
      <x v="4"/>
      <x v="2"/>
      <x v="1"/>
    </i>
    <i>
      <x v="316"/>
      <x v="2"/>
      <x v="19"/>
      <x v="1"/>
    </i>
    <i>
      <x v="317"/>
      <x v="9"/>
      <x v="6"/>
      <x v="2"/>
    </i>
    <i>
      <x v="318"/>
      <x v="14"/>
      <x v="10"/>
      <x/>
    </i>
    <i>
      <x v="319"/>
      <x v="13"/>
      <x v="19"/>
      <x v="1"/>
    </i>
    <i>
      <x v="320"/>
      <x v="11"/>
      <x v="9"/>
      <x v="2"/>
    </i>
    <i>
      <x v="321"/>
      <x v="5"/>
      <x v="8"/>
      <x/>
    </i>
    <i>
      <x v="322"/>
      <x v="17"/>
      <x v="12"/>
      <x v="3"/>
    </i>
    <i>
      <x v="323"/>
      <x v="7"/>
      <x v="16"/>
      <x v="3"/>
    </i>
    <i>
      <x v="324"/>
      <x v="4"/>
      <x v="19"/>
      <x v="1"/>
    </i>
    <i>
      <x v="325"/>
      <x v="3"/>
      <x v="3"/>
      <x v="4"/>
    </i>
    <i>
      <x v="326"/>
      <x v="8"/>
      <x v="17"/>
      <x v="4"/>
    </i>
    <i>
      <x v="327"/>
      <x v="2"/>
      <x v="12"/>
      <x v="1"/>
    </i>
    <i>
      <x v="328"/>
      <x v="2"/>
      <x v="5"/>
      <x v="1"/>
    </i>
    <i>
      <x v="329"/>
      <x v="6"/>
      <x v="18"/>
      <x v="2"/>
    </i>
    <i>
      <x v="330"/>
      <x v="7"/>
      <x v="4"/>
      <x v="3"/>
    </i>
    <i>
      <x v="331"/>
      <x v="11"/>
      <x v="5"/>
      <x v="2"/>
    </i>
    <i>
      <x v="332"/>
      <x v="11"/>
      <x v="6"/>
      <x v="2"/>
    </i>
    <i>
      <x v="333"/>
      <x v="8"/>
      <x/>
      <x v="4"/>
    </i>
    <i>
      <x v="334"/>
      <x v="7"/>
      <x v="19"/>
      <x v="3"/>
    </i>
    <i>
      <x v="335"/>
      <x v="16"/>
      <x v="4"/>
      <x/>
    </i>
    <i>
      <x v="336"/>
      <x v="7"/>
      <x v="15"/>
      <x v="3"/>
    </i>
    <i>
      <x v="337"/>
      <x v="20"/>
      <x v="5"/>
      <x v="3"/>
    </i>
    <i>
      <x v="338"/>
      <x v="19"/>
      <x v="11"/>
      <x v="3"/>
    </i>
    <i>
      <x v="339"/>
      <x v="17"/>
      <x v="9"/>
      <x v="3"/>
    </i>
    <i>
      <x v="340"/>
      <x v="8"/>
      <x v="11"/>
      <x v="4"/>
    </i>
    <i>
      <x v="341"/>
      <x v="1"/>
      <x v="12"/>
      <x v="4"/>
    </i>
    <i>
      <x v="342"/>
      <x v="9"/>
      <x v="15"/>
      <x v="2"/>
    </i>
    <i>
      <x v="343"/>
      <x v="10"/>
      <x v="17"/>
      <x/>
    </i>
    <i>
      <x v="344"/>
      <x/>
      <x v="3"/>
      <x v="2"/>
    </i>
    <i>
      <x v="345"/>
      <x v="2"/>
      <x v="9"/>
      <x v="1"/>
    </i>
    <i>
      <x v="346"/>
      <x v="7"/>
      <x v="6"/>
      <x v="3"/>
    </i>
    <i>
      <x v="347"/>
      <x v="13"/>
      <x/>
      <x v="1"/>
    </i>
    <i>
      <x v="348"/>
      <x v="6"/>
      <x v="8"/>
      <x v="2"/>
    </i>
    <i>
      <x v="349"/>
      <x v="7"/>
      <x v="14"/>
      <x v="3"/>
    </i>
    <i>
      <x v="350"/>
      <x/>
      <x v="8"/>
      <x v="2"/>
    </i>
    <i>
      <x v="351"/>
      <x v="5"/>
      <x v="9"/>
      <x/>
    </i>
    <i>
      <x v="352"/>
      <x v="7"/>
      <x v="4"/>
      <x v="3"/>
    </i>
    <i>
      <x v="353"/>
      <x v="10"/>
      <x v="15"/>
      <x/>
    </i>
    <i>
      <x v="354"/>
      <x v="17"/>
      <x v="13"/>
      <x v="3"/>
    </i>
    <i>
      <x v="355"/>
      <x v="14"/>
      <x v="9"/>
      <x/>
    </i>
    <i>
      <x v="356"/>
      <x v="1"/>
      <x v="6"/>
      <x v="4"/>
    </i>
    <i>
      <x v="357"/>
      <x v="18"/>
      <x v="3"/>
      <x v="2"/>
    </i>
    <i>
      <x v="358"/>
      <x v="20"/>
      <x v="15"/>
      <x v="3"/>
    </i>
    <i>
      <x v="359"/>
      <x v="9"/>
      <x v="8"/>
      <x v="2"/>
    </i>
    <i>
      <x v="360"/>
      <x v="11"/>
      <x v="19"/>
      <x v="2"/>
    </i>
    <i>
      <x v="361"/>
      <x v="2"/>
      <x v="17"/>
      <x v="1"/>
    </i>
    <i>
      <x v="362"/>
      <x v="14"/>
      <x v="17"/>
      <x/>
    </i>
    <i>
      <x v="363"/>
      <x v="10"/>
      <x v="16"/>
      <x/>
    </i>
    <i>
      <x v="364"/>
      <x v="9"/>
      <x v="5"/>
      <x v="2"/>
    </i>
    <i>
      <x v="365"/>
      <x v="5"/>
      <x v="17"/>
      <x/>
    </i>
    <i>
      <x v="366"/>
      <x v="4"/>
      <x v="1"/>
      <x v="1"/>
    </i>
    <i>
      <x v="367"/>
      <x v="14"/>
      <x v="17"/>
      <x/>
    </i>
    <i>
      <x v="368"/>
      <x v="1"/>
      <x v="12"/>
      <x v="4"/>
    </i>
    <i>
      <x v="369"/>
      <x v="4"/>
      <x v="4"/>
      <x v="1"/>
    </i>
    <i>
      <x v="370"/>
      <x v="2"/>
      <x v="9"/>
      <x v="1"/>
    </i>
    <i>
      <x v="371"/>
      <x v="4"/>
      <x v="2"/>
      <x v="1"/>
    </i>
    <i>
      <x v="372"/>
      <x/>
      <x v="11"/>
      <x v="2"/>
    </i>
    <i>
      <x v="373"/>
      <x v="15"/>
      <x v="5"/>
      <x v="1"/>
    </i>
    <i>
      <x v="374"/>
      <x v="18"/>
      <x v="6"/>
      <x v="2"/>
    </i>
    <i>
      <x v="375"/>
      <x/>
      <x/>
      <x v="2"/>
    </i>
    <i>
      <x v="376"/>
      <x v="12"/>
      <x v="7"/>
      <x v="4"/>
    </i>
    <i>
      <x v="377"/>
      <x v="19"/>
      <x v="14"/>
      <x v="3"/>
    </i>
    <i>
      <x v="378"/>
      <x v="20"/>
      <x v="17"/>
      <x v="3"/>
    </i>
    <i>
      <x v="379"/>
      <x v="20"/>
      <x v="14"/>
      <x v="3"/>
    </i>
    <i>
      <x v="380"/>
      <x v="11"/>
      <x v="8"/>
      <x v="2"/>
    </i>
    <i>
      <x v="381"/>
      <x v="12"/>
      <x v="8"/>
      <x v="4"/>
    </i>
    <i>
      <x v="382"/>
      <x v="13"/>
      <x v="3"/>
      <x v="1"/>
    </i>
    <i>
      <x v="383"/>
      <x v="4"/>
      <x v="13"/>
      <x v="1"/>
    </i>
    <i>
      <x v="384"/>
      <x v="15"/>
      <x v="2"/>
      <x v="1"/>
    </i>
    <i>
      <x v="385"/>
      <x v="20"/>
      <x v="10"/>
      <x v="3"/>
    </i>
    <i>
      <x v="386"/>
      <x v="9"/>
      <x v="6"/>
      <x v="2"/>
    </i>
    <i>
      <x v="387"/>
      <x v="7"/>
      <x v="13"/>
      <x v="3"/>
    </i>
    <i>
      <x v="388"/>
      <x v="11"/>
      <x v="16"/>
      <x v="2"/>
    </i>
    <i>
      <x v="389"/>
      <x v="1"/>
      <x/>
      <x v="4"/>
    </i>
    <i>
      <x v="390"/>
      <x v="16"/>
      <x v="7"/>
      <x/>
    </i>
    <i>
      <x v="391"/>
      <x v="4"/>
      <x v="17"/>
      <x v="1"/>
    </i>
    <i>
      <x v="392"/>
      <x v="15"/>
      <x v="8"/>
      <x v="1"/>
    </i>
    <i>
      <x v="393"/>
      <x v="17"/>
      <x v="7"/>
      <x v="3"/>
    </i>
    <i>
      <x v="394"/>
      <x v="5"/>
      <x v="17"/>
      <x/>
    </i>
    <i>
      <x v="395"/>
      <x v="17"/>
      <x v="7"/>
      <x v="3"/>
    </i>
    <i>
      <x v="396"/>
      <x v="17"/>
      <x v="4"/>
      <x v="3"/>
    </i>
    <i>
      <x v="397"/>
      <x v="10"/>
      <x v="4"/>
      <x/>
    </i>
    <i>
      <x v="398"/>
      <x v="1"/>
      <x v="4"/>
      <x v="4"/>
    </i>
    <i>
      <x v="399"/>
      <x v="9"/>
      <x v="5"/>
      <x v="2"/>
    </i>
    <i>
      <x v="400"/>
      <x v="18"/>
      <x v="10"/>
      <x v="2"/>
    </i>
    <i>
      <x v="401"/>
      <x v="2"/>
      <x v="5"/>
      <x v="1"/>
    </i>
    <i>
      <x v="402"/>
      <x v="10"/>
      <x v="3"/>
      <x/>
    </i>
    <i>
      <x v="403"/>
      <x v="20"/>
      <x v="7"/>
      <x v="3"/>
    </i>
    <i>
      <x v="404"/>
      <x v="17"/>
      <x v="9"/>
      <x v="3"/>
    </i>
    <i>
      <x v="405"/>
      <x v="5"/>
      <x v="5"/>
      <x/>
    </i>
    <i>
      <x v="406"/>
      <x v="18"/>
      <x v="17"/>
      <x v="2"/>
    </i>
    <i>
      <x v="407"/>
      <x v="15"/>
      <x v="14"/>
      <x v="1"/>
    </i>
    <i>
      <x v="408"/>
      <x v="1"/>
      <x v="10"/>
      <x v="4"/>
    </i>
    <i>
      <x v="409"/>
      <x v="1"/>
      <x v="3"/>
      <x v="4"/>
    </i>
    <i>
      <x v="410"/>
      <x v="2"/>
      <x v="1"/>
      <x v="1"/>
    </i>
    <i>
      <x v="411"/>
      <x v="2"/>
      <x/>
      <x v="1"/>
    </i>
    <i>
      <x v="412"/>
      <x v="8"/>
      <x v="11"/>
      <x v="4"/>
    </i>
    <i>
      <x v="413"/>
      <x v="16"/>
      <x v="1"/>
      <x/>
    </i>
    <i>
      <x v="414"/>
      <x v="3"/>
      <x/>
      <x v="4"/>
    </i>
    <i>
      <x v="415"/>
      <x v="20"/>
      <x/>
      <x v="3"/>
    </i>
    <i>
      <x v="416"/>
      <x v="10"/>
      <x v="1"/>
      <x/>
    </i>
    <i>
      <x v="417"/>
      <x v="6"/>
      <x v="8"/>
      <x v="2"/>
    </i>
    <i>
      <x v="418"/>
      <x v="2"/>
      <x v="3"/>
      <x v="1"/>
    </i>
    <i>
      <x v="419"/>
      <x v="4"/>
      <x v="9"/>
      <x v="1"/>
    </i>
    <i>
      <x v="420"/>
      <x v="7"/>
      <x v="4"/>
      <x v="3"/>
    </i>
    <i>
      <x v="421"/>
      <x v="1"/>
      <x v="5"/>
      <x v="4"/>
    </i>
    <i>
      <x v="422"/>
      <x v="18"/>
      <x v="7"/>
      <x v="2"/>
    </i>
    <i>
      <x v="423"/>
      <x v="13"/>
      <x v="19"/>
      <x v="1"/>
    </i>
    <i>
      <x v="424"/>
      <x v="12"/>
      <x v="18"/>
      <x v="4"/>
    </i>
    <i>
      <x v="425"/>
      <x v="13"/>
      <x v="6"/>
      <x v="1"/>
    </i>
    <i>
      <x v="426"/>
      <x v="2"/>
      <x v="8"/>
      <x v="1"/>
    </i>
    <i>
      <x v="427"/>
      <x v="16"/>
      <x v="3"/>
      <x/>
    </i>
    <i>
      <x v="428"/>
      <x v="17"/>
      <x v="16"/>
      <x v="3"/>
    </i>
    <i>
      <x v="429"/>
      <x/>
      <x v="14"/>
      <x v="2"/>
    </i>
    <i>
      <x v="430"/>
      <x v="4"/>
      <x v="1"/>
      <x v="1"/>
    </i>
    <i>
      <x v="431"/>
      <x v="12"/>
      <x v="15"/>
      <x v="4"/>
    </i>
    <i>
      <x v="432"/>
      <x v="9"/>
      <x v="19"/>
      <x v="2"/>
    </i>
    <i>
      <x v="433"/>
      <x v="10"/>
      <x v="4"/>
      <x/>
    </i>
    <i>
      <x v="434"/>
      <x v="16"/>
      <x v="5"/>
      <x/>
    </i>
    <i>
      <x v="435"/>
      <x v="13"/>
      <x v="7"/>
      <x v="1"/>
    </i>
    <i>
      <x v="436"/>
      <x v="13"/>
      <x v="6"/>
      <x v="1"/>
    </i>
    <i>
      <x v="437"/>
      <x v="19"/>
      <x/>
      <x v="3"/>
    </i>
    <i>
      <x v="438"/>
      <x v="17"/>
      <x/>
      <x v="3"/>
    </i>
    <i>
      <x v="439"/>
      <x v="4"/>
      <x v="10"/>
      <x v="1"/>
    </i>
    <i>
      <x v="440"/>
      <x v="2"/>
      <x v="6"/>
      <x v="1"/>
    </i>
    <i>
      <x v="441"/>
      <x v="14"/>
      <x v="2"/>
      <x/>
    </i>
    <i>
      <x v="442"/>
      <x v="19"/>
      <x v="6"/>
      <x v="3"/>
    </i>
    <i>
      <x v="443"/>
      <x v="19"/>
      <x v="12"/>
      <x v="3"/>
    </i>
    <i>
      <x v="444"/>
      <x v="20"/>
      <x v="5"/>
      <x v="3"/>
    </i>
    <i>
      <x v="445"/>
      <x v="20"/>
      <x v="5"/>
      <x v="3"/>
    </i>
    <i>
      <x v="446"/>
      <x v="17"/>
      <x v="8"/>
      <x v="3"/>
    </i>
    <i>
      <x v="447"/>
      <x v="3"/>
      <x v="15"/>
      <x v="4"/>
    </i>
    <i>
      <x v="448"/>
      <x v="17"/>
      <x v="19"/>
      <x v="3"/>
    </i>
    <i>
      <x v="449"/>
      <x/>
      <x v="10"/>
      <x v="2"/>
    </i>
    <i>
      <x v="450"/>
      <x v="17"/>
      <x v="9"/>
      <x v="3"/>
    </i>
    <i>
      <x v="451"/>
      <x v="4"/>
      <x v="16"/>
      <x v="1"/>
    </i>
    <i>
      <x v="452"/>
      <x v="1"/>
      <x v="13"/>
      <x v="4"/>
    </i>
    <i>
      <x v="453"/>
      <x v="9"/>
      <x v="9"/>
      <x v="2"/>
    </i>
    <i>
      <x v="454"/>
      <x v="20"/>
      <x v="18"/>
      <x v="3"/>
    </i>
    <i>
      <x v="455"/>
      <x v="20"/>
      <x v="13"/>
      <x v="3"/>
    </i>
    <i>
      <x v="456"/>
      <x/>
      <x v="6"/>
      <x v="2"/>
    </i>
    <i>
      <x v="457"/>
      <x v="18"/>
      <x v="7"/>
      <x v="2"/>
    </i>
    <i>
      <x v="458"/>
      <x v="12"/>
      <x v="1"/>
      <x v="4"/>
    </i>
    <i>
      <x v="459"/>
      <x v="7"/>
      <x v="9"/>
      <x v="3"/>
    </i>
    <i>
      <x v="460"/>
      <x v="19"/>
      <x v="12"/>
      <x v="3"/>
    </i>
    <i>
      <x v="461"/>
      <x v="8"/>
      <x v="7"/>
      <x v="4"/>
    </i>
    <i>
      <x v="462"/>
      <x/>
      <x v="14"/>
      <x v="2"/>
    </i>
    <i>
      <x v="463"/>
      <x v="7"/>
      <x v="13"/>
      <x v="3"/>
    </i>
    <i>
      <x v="464"/>
      <x v="8"/>
      <x v="14"/>
      <x v="4"/>
    </i>
    <i>
      <x v="465"/>
      <x v="8"/>
      <x v="1"/>
      <x v="4"/>
    </i>
    <i>
      <x v="466"/>
      <x v="5"/>
      <x/>
      <x/>
    </i>
    <i>
      <x v="467"/>
      <x v="8"/>
      <x v="6"/>
      <x v="4"/>
    </i>
    <i>
      <x v="468"/>
      <x/>
      <x v="10"/>
      <x v="2"/>
    </i>
    <i>
      <x v="469"/>
      <x v="12"/>
      <x v="12"/>
      <x v="4"/>
    </i>
    <i>
      <x v="470"/>
      <x v="1"/>
      <x v="4"/>
      <x v="4"/>
    </i>
    <i>
      <x v="471"/>
      <x v="13"/>
      <x v="1"/>
      <x v="1"/>
    </i>
    <i>
      <x v="472"/>
      <x v="9"/>
      <x v="18"/>
      <x v="2"/>
    </i>
    <i>
      <x v="473"/>
      <x v="10"/>
      <x v="12"/>
      <x/>
    </i>
    <i>
      <x v="474"/>
      <x v="16"/>
      <x v="5"/>
      <x/>
    </i>
    <i>
      <x v="475"/>
      <x v="12"/>
      <x v="9"/>
      <x v="4"/>
    </i>
    <i>
      <x v="476"/>
      <x v="8"/>
      <x v="18"/>
      <x v="4"/>
    </i>
    <i>
      <x v="477"/>
      <x v="17"/>
      <x v="4"/>
      <x v="3"/>
    </i>
    <i>
      <x v="478"/>
      <x v="1"/>
      <x v="7"/>
      <x v="4"/>
    </i>
    <i>
      <x v="479"/>
      <x v="10"/>
      <x v="19"/>
      <x/>
    </i>
    <i>
      <x v="480"/>
      <x v="2"/>
      <x v="7"/>
      <x v="1"/>
    </i>
    <i>
      <x v="481"/>
      <x v="1"/>
      <x v="15"/>
      <x v="4"/>
    </i>
    <i>
      <x v="482"/>
      <x v="17"/>
      <x v="11"/>
      <x v="3"/>
    </i>
    <i>
      <x v="483"/>
      <x/>
      <x v="18"/>
      <x v="2"/>
    </i>
    <i>
      <x v="484"/>
      <x/>
      <x v="6"/>
      <x v="2"/>
    </i>
    <i>
      <x v="485"/>
      <x/>
      <x v="11"/>
      <x v="2"/>
    </i>
    <i>
      <x v="486"/>
      <x v="20"/>
      <x v="7"/>
      <x v="3"/>
    </i>
    <i>
      <x v="487"/>
      <x v="17"/>
      <x v="13"/>
      <x v="3"/>
    </i>
    <i>
      <x v="488"/>
      <x v="9"/>
      <x v="5"/>
      <x v="2"/>
    </i>
    <i>
      <x v="489"/>
      <x v="10"/>
      <x v="4"/>
      <x/>
    </i>
    <i>
      <x v="490"/>
      <x v="7"/>
      <x v="9"/>
      <x v="3"/>
    </i>
    <i>
      <x v="491"/>
      <x v="5"/>
      <x v="5"/>
      <x/>
    </i>
    <i>
      <x v="492"/>
      <x v="4"/>
      <x v="12"/>
      <x v="1"/>
    </i>
    <i>
      <x v="493"/>
      <x v="14"/>
      <x v="5"/>
      <x/>
    </i>
    <i>
      <x v="494"/>
      <x/>
      <x v="14"/>
      <x v="2"/>
    </i>
    <i>
      <x v="495"/>
      <x v="4"/>
      <x v="8"/>
      <x v="1"/>
    </i>
    <i>
      <x v="496"/>
      <x v="14"/>
      <x v="16"/>
      <x/>
    </i>
    <i>
      <x v="497"/>
      <x v="18"/>
      <x v="11"/>
      <x v="2"/>
    </i>
    <i>
      <x v="498"/>
      <x v="14"/>
      <x v="1"/>
      <x/>
    </i>
    <i>
      <x v="499"/>
      <x/>
      <x v="17"/>
      <x v="2"/>
    </i>
    <i t="grand">
      <x/>
    </i>
  </rowItems>
  <colItems count="1">
    <i/>
  </colItems>
  <dataFields count="1">
    <dataField name="Total Sales" fld="8" baseField="0" baseItem="0"/>
  </dataFields>
  <formats count="1">
    <format dxfId="2">
      <pivotArea collapsedLevelsAreSubtotals="1" fieldPosition="0">
        <references count="1">
          <reference field="4294967294" count="1">
            <x v="0"/>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812528-91E0-4D4D-AC61-1AD1B7F08947}" name="PivotTable1"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8" firstHeaderRow="1" firstDataRow="1" firstDataCol="1"/>
  <pivotFields count="13">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showAll="0">
      <items count="5">
        <item x="2"/>
        <item x="0"/>
        <item x="3"/>
        <item x="1"/>
        <item t="default"/>
      </items>
    </pivotField>
    <pivotField showAll="0">
      <items count="5">
        <item x="2"/>
        <item x="0"/>
        <item x="1"/>
        <item x="3"/>
        <item t="default"/>
      </items>
    </pivotField>
    <pivotField dataField="1" showAll="0"/>
    <pivotField dataField="1" showAll="0"/>
    <pivotField dataField="1" showAll="0"/>
    <pivotField dataField="1" showAll="0"/>
    <pivotField showAll="0">
      <items count="13">
        <item x="10"/>
        <item x="7"/>
        <item x="6"/>
        <item x="2"/>
        <item x="0"/>
        <item x="9"/>
        <item x="4"/>
        <item x="3"/>
        <item x="5"/>
        <item x="1"/>
        <item x="11"/>
        <item x="8"/>
        <item t="default"/>
      </items>
    </pivotField>
  </pivotFields>
  <rowFields count="1">
    <field x="-2"/>
  </rowFields>
  <rowItems count="5">
    <i>
      <x/>
    </i>
    <i i="1">
      <x v="1"/>
    </i>
    <i i="2">
      <x v="2"/>
    </i>
    <i i="3">
      <x v="3"/>
    </i>
    <i i="4">
      <x v="4"/>
    </i>
  </rowItems>
  <colItems count="1">
    <i/>
  </colItems>
  <dataFields count="5">
    <dataField name="Count of Order_ID" fld="0" subtotal="count" baseField="0" baseItem="0"/>
    <dataField name="Total Sales" fld="8" baseField="0" baseItem="0"/>
    <dataField name="Sum of Quantity" fld="9" baseField="0" baseItem="0"/>
    <dataField name="Average of Rating" fld="10" subtotal="average" baseField="0" baseItem="1"/>
    <dataField name="Average of Delivery" fld="11" subtotal="average" baseField="0" baseItem="1"/>
  </dataFields>
  <formats count="4">
    <format dxfId="6">
      <pivotArea collapsedLevelsAreSubtotals="1" fieldPosition="0">
        <references count="1">
          <reference field="4294967294" count="1">
            <x v="3"/>
          </reference>
        </references>
      </pivotArea>
    </format>
    <format dxfId="5">
      <pivotArea collapsedLevelsAreSubtotals="1" fieldPosition="0">
        <references count="1">
          <reference field="4294967294" count="1">
            <x v="1"/>
          </reference>
        </references>
      </pivotArea>
    </format>
    <format dxfId="4">
      <pivotArea collapsedLevelsAreSubtotals="1" fieldPosition="0">
        <references count="1">
          <reference field="4294967294" count="1">
            <x v="4"/>
          </reference>
        </references>
      </pivotArea>
    </format>
    <format dxfId="3">
      <pivotArea collapsedLevelsAreSubtotals="1"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3BE530-2AF6-4C9F-8C7F-920245543563}" name="PivotTable3"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G3:H9" firstHeaderRow="1" firstDataRow="1" firstDataCol="1"/>
  <pivotFields count="13">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axis="axisRow" showAll="0" sortType="a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4"/>
  </rowFields>
  <rowItems count="6">
    <i>
      <x/>
    </i>
    <i>
      <x v="1"/>
    </i>
    <i>
      <x v="3"/>
    </i>
    <i>
      <x v="4"/>
    </i>
    <i>
      <x v="2"/>
    </i>
    <i t="grand">
      <x/>
    </i>
  </rowItems>
  <colItems count="1">
    <i/>
  </colItems>
  <dataFields count="1">
    <dataField name="Total Sales" fld="8" baseField="0" baseItem="0"/>
  </dataFields>
  <formats count="1">
    <format dxfId="7">
      <pivotArea collapsedLevelsAreSubtotals="1"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CD1F7C-E56D-4147-83A1-8048C7AF6294}" name="PivotTable5"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M3:N9" firstHeaderRow="1" firstDataRow="1" firstDataCol="1"/>
  <pivotFields count="13">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axis="axisRow" showAll="0" measureFilter="1">
      <items count="22">
        <item x="12"/>
        <item x="6"/>
        <item x="5"/>
        <item x="1"/>
        <item x="13"/>
        <item x="20"/>
        <item x="2"/>
        <item x="4"/>
        <item x="8"/>
        <item x="14"/>
        <item x="15"/>
        <item x="16"/>
        <item x="9"/>
        <item x="17"/>
        <item x="10"/>
        <item x="7"/>
        <item x="0"/>
        <item x="3"/>
        <item x="19"/>
        <item x="18"/>
        <item x="11"/>
        <item t="default"/>
      </items>
    </pivotField>
    <pivotField showAll="0">
      <items count="6">
        <item x="0"/>
        <item x="4"/>
        <item x="2"/>
        <item x="3"/>
        <item x="1"/>
        <item t="default"/>
      </items>
    </pivotField>
    <pivotField showAll="0"/>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3"/>
  </rowFields>
  <rowItems count="6">
    <i>
      <x/>
    </i>
    <i>
      <x v="6"/>
    </i>
    <i>
      <x v="9"/>
    </i>
    <i>
      <x v="11"/>
    </i>
    <i>
      <x v="18"/>
    </i>
    <i t="grand">
      <x/>
    </i>
  </rowItems>
  <colItems count="1">
    <i/>
  </colItems>
  <dataFields count="1">
    <dataField name="Total Sales" fld="8" baseField="0" baseItem="0"/>
  </dataFields>
  <formats count="1">
    <format dxfId="8">
      <pivotArea collapsedLevelsAreSubtotals="1"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357190-CA70-4AC7-98C5-83E573F77B9D}" name="PivotTable7"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B3:AC10" firstHeaderRow="1" firstDataRow="1" firstDataCol="1"/>
  <pivotFields count="13">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measureFilter="1">
      <items count="22">
        <item x="12"/>
        <item x="6"/>
        <item x="5"/>
        <item x="1"/>
        <item x="13"/>
        <item x="20"/>
        <item x="2"/>
        <item x="4"/>
        <item x="8"/>
        <item x="14"/>
        <item x="15"/>
        <item x="16"/>
        <item x="9"/>
        <item x="17"/>
        <item x="10"/>
        <item x="7"/>
        <item x="0"/>
        <item x="3"/>
        <item x="19"/>
        <item x="18"/>
        <item x="11"/>
        <item t="default"/>
      </items>
    </pivotField>
    <pivotField showAll="0">
      <items count="6">
        <item x="0"/>
        <item x="4"/>
        <item x="2"/>
        <item x="3"/>
        <item x="1"/>
        <item t="default"/>
      </items>
    </pivotField>
    <pivotField axis="axisRow" showAll="0">
      <items count="7">
        <item x="4"/>
        <item x="1"/>
        <item x="0"/>
        <item x="3"/>
        <item x="5"/>
        <item x="2"/>
        <item t="default"/>
      </items>
    </pivotField>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5"/>
  </rowFields>
  <rowItems count="7">
    <i>
      <x/>
    </i>
    <i>
      <x v="1"/>
    </i>
    <i>
      <x v="2"/>
    </i>
    <i>
      <x v="3"/>
    </i>
    <i>
      <x v="4"/>
    </i>
    <i>
      <x v="5"/>
    </i>
    <i t="grand">
      <x/>
    </i>
  </rowItems>
  <colItems count="1">
    <i/>
  </colItems>
  <dataFields count="1">
    <dataField name="Total Sales" fld="8" baseField="0" baseItem="0"/>
  </dataFields>
  <formats count="1">
    <format dxfId="9">
      <pivotArea collapsedLevelsAreSubtotals="1" fieldPosition="0">
        <references count="1">
          <reference field="4294967294" count="1">
            <x v="0"/>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4AF92FC0-4701-447C-BD02-9883A28BD9AE}" sourceName="Seller">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67783211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0B8A822-3411-4CAB-B16E-63BEC354AB32}" sourceName="Payment_Method">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677832111">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7EA53AE-DF8B-4C78-9D2A-ADDAECBEC8CE}" sourceName="Month">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677832111">
      <items count="12">
        <i x="10" s="1"/>
        <i x="7" s="1"/>
        <i x="6" s="1"/>
        <i x="2" s="1"/>
        <i x="0" s="1"/>
        <i x="9" s="1"/>
        <i x="4" s="1"/>
        <i x="3" s="1"/>
        <i x="5" s="1"/>
        <i x="1" s="1"/>
        <i x="1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xr10:uid="{22F38D61-DA07-4651-B8B5-B4D94A37342A}" cache="Slicer_Seller" caption="Seller" rowHeight="247650"/>
  <slicer name="Payment_Method" xr10:uid="{202D44AB-38D9-45AC-8070-EADFB19304B4}" cache="Slicer_Payment_Method" caption="Payment_Method" rowHeight="247650"/>
  <slicer name="Month" xr10:uid="{E7291A4C-A1FC-48E7-B64B-B1909539EE67}" cache="Slicer_Month" caption="Month"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1" xr10:uid="{03C5067E-57C7-46F2-AF64-31E090CD1F9D}" cache="Slicer_Seller" caption="Seller" style="SlicerStyleDark1" rowHeight="228600"/>
  <slicer name="Payment_Method 1" xr10:uid="{A230CEC8-767A-4A02-8DB4-9329810C4C8C}" cache="Slicer_Payment_Method" caption="Payment_Method" style="SlicerStyleDark1" rowHeight="247650"/>
  <slicer name="Month 1" xr10:uid="{38E3DE2D-571E-4284-BE1E-958A684C7A05}" cache="Slicer_Month" caption="Month" columnCount="2" style="SlicerStyleDark1"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80D071-5323-4C66-BA22-00F82BF17697}" name="Table2" displayName="Table2" ref="A1:M501" totalsRowShown="0">
  <autoFilter ref="A1:M501" xr:uid="{2480D071-5323-4C66-BA22-00F82BF17697}"/>
  <tableColumns count="13">
    <tableColumn id="1" xr3:uid="{4619DDE8-E45E-40F5-9CDE-83F49B529241}" name="Order_ID"/>
    <tableColumn id="2" xr3:uid="{135ACC30-3CAE-4A4B-B5CB-59E5AD460DD3}" name="Date"/>
    <tableColumn id="3" xr3:uid="{CAE3042A-9808-464A-BC2A-9A5D7F3F309C}" name="Customer_Name"/>
    <tableColumn id="4" xr3:uid="{FB80DA67-A5C8-4B90-A1EF-46E18B030293}" name="Product"/>
    <tableColumn id="5" xr3:uid="{5E81FBA1-71A1-4F40-BD7A-FBF54904BE1A}" name="Category"/>
    <tableColumn id="6" xr3:uid="{2F226CA1-19E8-4AB1-A5D6-BBE87C5DB869}" name="State"/>
    <tableColumn id="7" xr3:uid="{F8102C39-594C-41AC-9686-541DDD1537E7}" name="Seller"/>
    <tableColumn id="8" xr3:uid="{0A8097C8-83EB-4DE0-A641-267C0F4EFC44}" name="Payment_Method"/>
    <tableColumn id="9" xr3:uid="{081A5C4B-54A1-4BBF-A014-0EBBF3191B2D}" name="Sales"/>
    <tableColumn id="10" xr3:uid="{C9E67D15-90D1-48D9-862A-8498B31085A7}" name="Quantity"/>
    <tableColumn id="11" xr3:uid="{AE998671-AC4D-4B9A-AFF2-4F542F21E837}" name="Rating"/>
    <tableColumn id="12" xr3:uid="{49941C77-18ED-46A5-8B32-A178909E271D}" name="Delivery"/>
    <tableColumn id="13" xr3:uid="{7F51789C-1BBD-40A2-89EF-B0174FE343E5}" name="Month"/>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70434-983B-4640-9EAA-F1C77F56F48D}">
  <dimension ref="A3:AG505"/>
  <sheetViews>
    <sheetView topLeftCell="O1" workbookViewId="0">
      <selection activeCell="R33" sqref="R33"/>
    </sheetView>
  </sheetViews>
  <sheetFormatPr defaultRowHeight="14.4" x14ac:dyDescent="0.3"/>
  <cols>
    <col min="1" max="1" width="16.109375" bestFit="1" customWidth="1"/>
    <col min="2" max="2" width="8.109375" customWidth="1"/>
    <col min="3" max="3" width="5.44140625" customWidth="1"/>
    <col min="4" max="4" width="11.77734375" customWidth="1"/>
    <col min="5" max="5" width="8" customWidth="1"/>
    <col min="6" max="6" width="2.6640625" customWidth="1"/>
    <col min="7" max="7" width="12.21875" customWidth="1"/>
    <col min="9" max="9" width="3.21875" customWidth="1"/>
    <col min="10" max="10" width="12.5546875" customWidth="1"/>
    <col min="12" max="12" width="3.21875" customWidth="1"/>
    <col min="13" max="13" width="14.33203125" customWidth="1"/>
    <col min="15" max="15" width="3.5546875" customWidth="1"/>
    <col min="16" max="16" width="12.77734375" customWidth="1"/>
    <col min="17" max="17" width="12.44140625" customWidth="1"/>
    <col min="18" max="18" width="12.6640625" customWidth="1"/>
    <col min="21" max="21" width="2.6640625" customWidth="1"/>
    <col min="22" max="22" width="8.88671875" customWidth="1"/>
    <col min="26" max="26" width="12.21875" bestFit="1" customWidth="1"/>
    <col min="27" max="27" width="2.88671875" customWidth="1"/>
    <col min="30" max="30" width="3.6640625" customWidth="1"/>
    <col min="31" max="31" width="10.77734375" customWidth="1"/>
    <col min="33" max="33" width="9.44140625" customWidth="1"/>
  </cols>
  <sheetData>
    <row r="3" spans="1:33" x14ac:dyDescent="0.3">
      <c r="A3" s="1" t="s">
        <v>864</v>
      </c>
      <c r="D3" s="1" t="s">
        <v>866</v>
      </c>
      <c r="E3" t="s">
        <v>865</v>
      </c>
      <c r="G3" s="1" t="s">
        <v>866</v>
      </c>
      <c r="H3" t="s">
        <v>865</v>
      </c>
      <c r="J3" s="1" t="s">
        <v>866</v>
      </c>
      <c r="K3" t="s">
        <v>865</v>
      </c>
      <c r="M3" s="1" t="s">
        <v>866</v>
      </c>
      <c r="N3" t="s">
        <v>865</v>
      </c>
      <c r="P3" s="1" t="s">
        <v>865</v>
      </c>
      <c r="V3" s="7" t="s">
        <v>0</v>
      </c>
      <c r="W3" s="7" t="s">
        <v>0</v>
      </c>
      <c r="X3" s="7" t="s">
        <v>0</v>
      </c>
      <c r="Y3" s="7" t="s">
        <v>0</v>
      </c>
      <c r="Z3" s="7" t="s">
        <v>0</v>
      </c>
      <c r="AB3" s="1" t="s">
        <v>866</v>
      </c>
      <c r="AC3" t="s">
        <v>865</v>
      </c>
      <c r="AE3" s="9" t="s">
        <v>5</v>
      </c>
      <c r="AF3" s="9" t="s">
        <v>5</v>
      </c>
      <c r="AG3" s="9" t="s">
        <v>869</v>
      </c>
    </row>
    <row r="4" spans="1:33" x14ac:dyDescent="0.3">
      <c r="A4" s="2" t="s">
        <v>861</v>
      </c>
      <c r="B4">
        <v>500</v>
      </c>
      <c r="D4" s="2" t="s">
        <v>144</v>
      </c>
      <c r="E4" s="4">
        <v>1480730</v>
      </c>
      <c r="G4" s="2" t="s">
        <v>17</v>
      </c>
      <c r="H4" s="4">
        <v>490618</v>
      </c>
      <c r="J4" s="2" t="s">
        <v>36</v>
      </c>
      <c r="K4" s="4">
        <v>5522910</v>
      </c>
      <c r="M4" s="2" t="s">
        <v>97</v>
      </c>
      <c r="N4" s="4">
        <v>5398413</v>
      </c>
      <c r="P4" s="1" t="s">
        <v>0</v>
      </c>
      <c r="Q4" s="1" t="s">
        <v>3</v>
      </c>
      <c r="R4" s="1" t="s">
        <v>2</v>
      </c>
      <c r="S4" s="1" t="s">
        <v>4</v>
      </c>
      <c r="T4" t="s">
        <v>868</v>
      </c>
      <c r="V4" t="str">
        <f>P5</f>
        <v>ORD10001</v>
      </c>
      <c r="W4" t="str">
        <f t="shared" ref="W4:Z9" si="0">Q5</f>
        <v>Shampoo</v>
      </c>
      <c r="X4" t="str">
        <f t="shared" si="0"/>
        <v>Rohit</v>
      </c>
      <c r="Y4" t="str">
        <f t="shared" si="0"/>
        <v>Beauty</v>
      </c>
      <c r="Z4" s="6">
        <f t="shared" si="0"/>
        <v>3028</v>
      </c>
      <c r="AB4" s="2" t="s">
        <v>83</v>
      </c>
      <c r="AC4" s="4">
        <v>3353882</v>
      </c>
      <c r="AE4" s="10" t="s">
        <v>83</v>
      </c>
      <c r="AF4" s="11">
        <f>AC4</f>
        <v>3353882</v>
      </c>
      <c r="AG4" s="12">
        <f>AF4/AF10</f>
        <v>0.14578028382255265</v>
      </c>
    </row>
    <row r="5" spans="1:33" x14ac:dyDescent="0.3">
      <c r="A5" s="2" t="s">
        <v>865</v>
      </c>
      <c r="B5" s="4">
        <v>23006417</v>
      </c>
      <c r="D5" s="2" t="s">
        <v>87</v>
      </c>
      <c r="E5" s="4">
        <v>1991453</v>
      </c>
      <c r="G5" s="2" t="s">
        <v>52</v>
      </c>
      <c r="H5" s="4">
        <v>570604</v>
      </c>
      <c r="J5" s="2" t="s">
        <v>20</v>
      </c>
      <c r="K5" s="4">
        <v>5037484</v>
      </c>
      <c r="M5" s="2" t="s">
        <v>34</v>
      </c>
      <c r="N5" s="4">
        <v>2352917</v>
      </c>
      <c r="P5" t="s">
        <v>13</v>
      </c>
      <c r="Q5" t="s">
        <v>16</v>
      </c>
      <c r="R5" t="s">
        <v>15</v>
      </c>
      <c r="S5" t="s">
        <v>17</v>
      </c>
      <c r="T5" s="4">
        <v>3028</v>
      </c>
      <c r="V5" t="str">
        <f t="shared" ref="V5:V9" si="1">P6</f>
        <v>ORD10002</v>
      </c>
      <c r="W5" t="str">
        <f t="shared" si="0"/>
        <v>Chair</v>
      </c>
      <c r="X5" t="str">
        <f t="shared" si="0"/>
        <v>Kavya</v>
      </c>
      <c r="Y5" t="str">
        <f t="shared" si="0"/>
        <v>Home</v>
      </c>
      <c r="Z5" s="6">
        <f t="shared" si="0"/>
        <v>32636</v>
      </c>
      <c r="AB5" s="2" t="s">
        <v>27</v>
      </c>
      <c r="AC5" s="4">
        <v>4389497</v>
      </c>
      <c r="AE5" s="10" t="str">
        <f>AB5</f>
        <v>Gujrat</v>
      </c>
      <c r="AF5" s="11">
        <f t="shared" ref="AF5:AF9" si="2">AC5</f>
        <v>4389497</v>
      </c>
      <c r="AG5" s="12">
        <f>AF5/AF10</f>
        <v>0.19079446399671882</v>
      </c>
    </row>
    <row r="6" spans="1:33" x14ac:dyDescent="0.3">
      <c r="A6" s="2" t="s">
        <v>860</v>
      </c>
      <c r="B6" s="5">
        <v>2280</v>
      </c>
      <c r="D6" s="2" t="s">
        <v>80</v>
      </c>
      <c r="E6" s="4">
        <v>2439516</v>
      </c>
      <c r="G6" s="2" t="s">
        <v>42</v>
      </c>
      <c r="H6" s="4">
        <v>1790583</v>
      </c>
      <c r="J6" s="2" t="s">
        <v>29</v>
      </c>
      <c r="K6" s="4">
        <v>6132531</v>
      </c>
      <c r="M6" s="2" t="s">
        <v>113</v>
      </c>
      <c r="N6" s="4">
        <v>2432276</v>
      </c>
      <c r="P6" t="s">
        <v>22</v>
      </c>
      <c r="Q6" t="s">
        <v>25</v>
      </c>
      <c r="R6" t="s">
        <v>24</v>
      </c>
      <c r="S6" t="s">
        <v>26</v>
      </c>
      <c r="T6" s="4">
        <v>32636</v>
      </c>
      <c r="V6" t="str">
        <f t="shared" si="1"/>
        <v>ORD10003</v>
      </c>
      <c r="W6" t="str">
        <f t="shared" si="0"/>
        <v>iPhone 15</v>
      </c>
      <c r="X6" t="str">
        <f t="shared" si="0"/>
        <v>Neha</v>
      </c>
      <c r="Y6" t="str">
        <f t="shared" si="0"/>
        <v>Electronics</v>
      </c>
      <c r="Z6" s="6">
        <f t="shared" si="0"/>
        <v>313782</v>
      </c>
      <c r="AB6" s="2" t="s">
        <v>18</v>
      </c>
      <c r="AC6" s="4">
        <v>5312858</v>
      </c>
      <c r="AE6" s="10" t="str">
        <f>AB6</f>
        <v>Karnataka</v>
      </c>
      <c r="AF6" s="11">
        <f t="shared" si="2"/>
        <v>5312858</v>
      </c>
      <c r="AG6" s="12">
        <f>AF6/AF10</f>
        <v>0.23092939678525343</v>
      </c>
    </row>
    <row r="7" spans="1:33" x14ac:dyDescent="0.3">
      <c r="A7" s="2" t="s">
        <v>862</v>
      </c>
      <c r="B7" s="3">
        <v>4.1180000000000021</v>
      </c>
      <c r="D7" s="2" t="s">
        <v>37</v>
      </c>
      <c r="E7" s="4">
        <v>1723736</v>
      </c>
      <c r="G7" s="2" t="s">
        <v>26</v>
      </c>
      <c r="H7" s="4">
        <v>2691079</v>
      </c>
      <c r="J7" s="2" t="s">
        <v>64</v>
      </c>
      <c r="K7" s="4">
        <v>6313492</v>
      </c>
      <c r="M7" s="2" t="s">
        <v>130</v>
      </c>
      <c r="N7" s="4">
        <v>3842259</v>
      </c>
      <c r="P7" t="s">
        <v>31</v>
      </c>
      <c r="Q7" t="s">
        <v>34</v>
      </c>
      <c r="R7" t="s">
        <v>33</v>
      </c>
      <c r="S7" t="s">
        <v>35</v>
      </c>
      <c r="T7" s="4">
        <v>313782</v>
      </c>
      <c r="V7" t="str">
        <f t="shared" si="1"/>
        <v>ORD10004</v>
      </c>
      <c r="W7" t="str">
        <f t="shared" si="0"/>
        <v>Shoes</v>
      </c>
      <c r="X7" t="str">
        <f t="shared" si="0"/>
        <v>Rahul</v>
      </c>
      <c r="Y7" t="str">
        <f t="shared" si="0"/>
        <v>Fashion</v>
      </c>
      <c r="Z7" s="6">
        <f t="shared" si="0"/>
        <v>11375</v>
      </c>
      <c r="AB7" s="2" t="s">
        <v>60</v>
      </c>
      <c r="AC7" s="4">
        <v>3463152</v>
      </c>
      <c r="AE7" s="10" t="str">
        <f>AB7</f>
        <v>Maharashtra</v>
      </c>
      <c r="AF7" s="11">
        <f t="shared" si="2"/>
        <v>3463152</v>
      </c>
      <c r="AG7" s="12">
        <f>AF7/AF10</f>
        <v>0.15052982826487063</v>
      </c>
    </row>
    <row r="8" spans="1:33" x14ac:dyDescent="0.3">
      <c r="A8" s="2" t="s">
        <v>863</v>
      </c>
      <c r="B8" s="3">
        <v>4.2919999999999998</v>
      </c>
      <c r="D8" s="2" t="s">
        <v>21</v>
      </c>
      <c r="E8" s="4">
        <v>2226405</v>
      </c>
      <c r="G8" s="2" t="s">
        <v>35</v>
      </c>
      <c r="H8" s="4">
        <v>17463533</v>
      </c>
      <c r="J8" s="2" t="s">
        <v>867</v>
      </c>
      <c r="K8" s="4">
        <v>23006417</v>
      </c>
      <c r="M8" s="2" t="s">
        <v>165</v>
      </c>
      <c r="N8" s="4">
        <v>3437668</v>
      </c>
      <c r="P8" t="s">
        <v>38</v>
      </c>
      <c r="Q8" t="s">
        <v>41</v>
      </c>
      <c r="R8" t="s">
        <v>40</v>
      </c>
      <c r="S8" t="s">
        <v>42</v>
      </c>
      <c r="T8" s="4">
        <v>11375</v>
      </c>
      <c r="V8" t="str">
        <f t="shared" si="1"/>
        <v>ORD10005</v>
      </c>
      <c r="W8" t="str">
        <f t="shared" si="0"/>
        <v>Jeans</v>
      </c>
      <c r="X8" t="str">
        <f t="shared" si="0"/>
        <v>Akash</v>
      </c>
      <c r="Y8" t="str">
        <f t="shared" si="0"/>
        <v>Fashion</v>
      </c>
      <c r="Z8" s="6">
        <f t="shared" si="0"/>
        <v>14496</v>
      </c>
      <c r="AB8" s="2" t="s">
        <v>100</v>
      </c>
      <c r="AC8" s="4">
        <v>3050638</v>
      </c>
      <c r="AE8" s="10" t="str">
        <f>AB8</f>
        <v>Tamil Nadu</v>
      </c>
      <c r="AF8" s="11">
        <f t="shared" si="2"/>
        <v>3050638</v>
      </c>
      <c r="AG8" s="12">
        <f>AF8/AF10</f>
        <v>0.13259943953897732</v>
      </c>
    </row>
    <row r="9" spans="1:33" x14ac:dyDescent="0.3">
      <c r="D9" s="2" t="s">
        <v>126</v>
      </c>
      <c r="E9" s="4">
        <v>1483670</v>
      </c>
      <c r="G9" s="2" t="s">
        <v>867</v>
      </c>
      <c r="H9" s="4">
        <v>23006417</v>
      </c>
      <c r="M9" s="2" t="s">
        <v>867</v>
      </c>
      <c r="N9" s="4">
        <v>17463533</v>
      </c>
      <c r="P9" t="s">
        <v>43</v>
      </c>
      <c r="Q9" t="s">
        <v>46</v>
      </c>
      <c r="R9" t="s">
        <v>45</v>
      </c>
      <c r="S9" t="s">
        <v>42</v>
      </c>
      <c r="T9" s="4">
        <v>14496</v>
      </c>
      <c r="V9" t="str">
        <f t="shared" si="1"/>
        <v>ORD10006</v>
      </c>
      <c r="W9" t="str">
        <f t="shared" si="0"/>
        <v>Business Book</v>
      </c>
      <c r="X9" t="str">
        <f t="shared" si="0"/>
        <v>Anjali</v>
      </c>
      <c r="Y9" t="str">
        <f t="shared" si="0"/>
        <v>Books</v>
      </c>
      <c r="Z9" s="6">
        <f t="shared" si="0"/>
        <v>5745</v>
      </c>
      <c r="AB9" s="2" t="s">
        <v>53</v>
      </c>
      <c r="AC9" s="4">
        <v>3436390</v>
      </c>
      <c r="AE9" s="10" t="str">
        <f>AB9</f>
        <v>Telangana</v>
      </c>
      <c r="AF9" s="11">
        <f t="shared" si="2"/>
        <v>3436390</v>
      </c>
      <c r="AG9" s="12">
        <f>AF9/AF10</f>
        <v>0.14936658759162716</v>
      </c>
    </row>
    <row r="10" spans="1:33" x14ac:dyDescent="0.3">
      <c r="D10" s="2" t="s">
        <v>55</v>
      </c>
      <c r="E10" s="4">
        <v>2566476</v>
      </c>
      <c r="P10" t="s">
        <v>48</v>
      </c>
      <c r="Q10" t="s">
        <v>51</v>
      </c>
      <c r="R10" t="s">
        <v>50</v>
      </c>
      <c r="S10" t="s">
        <v>52</v>
      </c>
      <c r="T10" s="4">
        <v>5745</v>
      </c>
      <c r="V10" s="7" t="s">
        <v>868</v>
      </c>
      <c r="W10" s="7"/>
      <c r="X10" s="7"/>
      <c r="Y10" s="7"/>
      <c r="Z10" s="8">
        <f>SUM(Z4:Z9)</f>
        <v>381062</v>
      </c>
      <c r="AB10" s="2" t="s">
        <v>867</v>
      </c>
      <c r="AC10" s="4">
        <v>23006417</v>
      </c>
      <c r="AE10" s="9" t="s">
        <v>868</v>
      </c>
      <c r="AF10" s="13">
        <f>SUM(AF4:AF9)</f>
        <v>23006417</v>
      </c>
      <c r="AG10" s="14">
        <v>1</v>
      </c>
    </row>
    <row r="11" spans="1:33" x14ac:dyDescent="0.3">
      <c r="D11" s="2" t="s">
        <v>47</v>
      </c>
      <c r="E11" s="4">
        <v>1323566</v>
      </c>
      <c r="P11" t="s">
        <v>56</v>
      </c>
      <c r="Q11" t="s">
        <v>59</v>
      </c>
      <c r="R11" t="s">
        <v>58</v>
      </c>
      <c r="S11" t="s">
        <v>26</v>
      </c>
      <c r="T11" s="4">
        <v>24696</v>
      </c>
    </row>
    <row r="12" spans="1:33" x14ac:dyDescent="0.3">
      <c r="D12" s="2" t="s">
        <v>65</v>
      </c>
      <c r="E12" s="4">
        <v>1648464</v>
      </c>
      <c r="P12" t="s">
        <v>61</v>
      </c>
      <c r="Q12" t="s">
        <v>63</v>
      </c>
      <c r="R12" t="s">
        <v>45</v>
      </c>
      <c r="S12" t="s">
        <v>52</v>
      </c>
      <c r="T12" s="4">
        <v>3536</v>
      </c>
    </row>
    <row r="13" spans="1:33" x14ac:dyDescent="0.3">
      <c r="D13" s="2" t="s">
        <v>30</v>
      </c>
      <c r="E13" s="4">
        <v>1876219</v>
      </c>
      <c r="P13" t="s">
        <v>66</v>
      </c>
      <c r="Q13" t="s">
        <v>69</v>
      </c>
      <c r="R13" t="s">
        <v>68</v>
      </c>
      <c r="S13" t="s">
        <v>26</v>
      </c>
      <c r="T13" s="4">
        <v>25855</v>
      </c>
    </row>
    <row r="14" spans="1:33" x14ac:dyDescent="0.3">
      <c r="D14" s="2" t="s">
        <v>192</v>
      </c>
      <c r="E14" s="4">
        <v>948995</v>
      </c>
      <c r="P14" t="s">
        <v>70</v>
      </c>
      <c r="Q14" t="s">
        <v>41</v>
      </c>
      <c r="R14" t="s">
        <v>72</v>
      </c>
      <c r="S14" t="s">
        <v>42</v>
      </c>
      <c r="T14" s="4">
        <v>9432</v>
      </c>
    </row>
    <row r="15" spans="1:33" x14ac:dyDescent="0.3">
      <c r="D15" s="2" t="s">
        <v>119</v>
      </c>
      <c r="E15" s="4">
        <v>3297187</v>
      </c>
      <c r="P15" t="s">
        <v>73</v>
      </c>
      <c r="Q15" t="s">
        <v>59</v>
      </c>
      <c r="R15" t="s">
        <v>75</v>
      </c>
      <c r="S15" t="s">
        <v>26</v>
      </c>
      <c r="T15" s="4">
        <v>1749</v>
      </c>
    </row>
    <row r="16" spans="1:33" x14ac:dyDescent="0.3">
      <c r="D16" s="2" t="s">
        <v>867</v>
      </c>
      <c r="E16" s="4">
        <v>23006417</v>
      </c>
      <c r="P16" t="s">
        <v>76</v>
      </c>
      <c r="Q16" t="s">
        <v>79</v>
      </c>
      <c r="R16" t="s">
        <v>78</v>
      </c>
      <c r="S16" t="s">
        <v>26</v>
      </c>
      <c r="T16" s="4">
        <v>85904</v>
      </c>
    </row>
    <row r="17" spans="16:20" x14ac:dyDescent="0.3">
      <c r="P17" t="s">
        <v>81</v>
      </c>
      <c r="Q17" t="s">
        <v>46</v>
      </c>
      <c r="R17" t="s">
        <v>58</v>
      </c>
      <c r="S17" t="s">
        <v>42</v>
      </c>
      <c r="T17" s="4">
        <v>9792</v>
      </c>
    </row>
    <row r="18" spans="16:20" x14ac:dyDescent="0.3">
      <c r="P18" t="s">
        <v>84</v>
      </c>
      <c r="Q18" t="s">
        <v>86</v>
      </c>
      <c r="R18" t="s">
        <v>78</v>
      </c>
      <c r="S18" t="s">
        <v>17</v>
      </c>
      <c r="T18" s="4">
        <v>976</v>
      </c>
    </row>
    <row r="19" spans="16:20" x14ac:dyDescent="0.3">
      <c r="P19" t="s">
        <v>88</v>
      </c>
      <c r="Q19" t="s">
        <v>90</v>
      </c>
      <c r="R19" t="s">
        <v>68</v>
      </c>
      <c r="S19" t="s">
        <v>42</v>
      </c>
      <c r="T19" s="4">
        <v>8338</v>
      </c>
    </row>
    <row r="20" spans="16:20" x14ac:dyDescent="0.3">
      <c r="P20" t="s">
        <v>91</v>
      </c>
      <c r="Q20" t="s">
        <v>86</v>
      </c>
      <c r="R20" t="s">
        <v>75</v>
      </c>
      <c r="S20" t="s">
        <v>17</v>
      </c>
      <c r="T20" s="4">
        <v>5592</v>
      </c>
    </row>
    <row r="21" spans="16:20" x14ac:dyDescent="0.3">
      <c r="P21" t="s">
        <v>93</v>
      </c>
      <c r="Q21" t="s">
        <v>25</v>
      </c>
      <c r="R21" t="s">
        <v>24</v>
      </c>
      <c r="S21" t="s">
        <v>26</v>
      </c>
      <c r="T21" s="4">
        <v>17208</v>
      </c>
    </row>
    <row r="22" spans="16:20" x14ac:dyDescent="0.3">
      <c r="P22" t="s">
        <v>95</v>
      </c>
      <c r="Q22" t="s">
        <v>97</v>
      </c>
      <c r="R22" t="s">
        <v>58</v>
      </c>
      <c r="S22" t="s">
        <v>35</v>
      </c>
      <c r="T22" s="4">
        <v>159523</v>
      </c>
    </row>
    <row r="23" spans="16:20" x14ac:dyDescent="0.3">
      <c r="P23" t="s">
        <v>98</v>
      </c>
      <c r="Q23" t="s">
        <v>16</v>
      </c>
      <c r="R23" t="s">
        <v>75</v>
      </c>
      <c r="S23" t="s">
        <v>17</v>
      </c>
      <c r="T23" s="4">
        <v>10632</v>
      </c>
    </row>
    <row r="24" spans="16:20" x14ac:dyDescent="0.3">
      <c r="P24" t="s">
        <v>101</v>
      </c>
      <c r="Q24" t="s">
        <v>41</v>
      </c>
      <c r="R24" t="s">
        <v>103</v>
      </c>
      <c r="S24" t="s">
        <v>42</v>
      </c>
      <c r="T24" s="4">
        <v>5484</v>
      </c>
    </row>
    <row r="25" spans="16:20" x14ac:dyDescent="0.3">
      <c r="P25" t="s">
        <v>105</v>
      </c>
      <c r="Q25" t="s">
        <v>97</v>
      </c>
      <c r="R25" t="s">
        <v>75</v>
      </c>
      <c r="S25" t="s">
        <v>35</v>
      </c>
      <c r="T25" s="4">
        <v>60040</v>
      </c>
    </row>
    <row r="26" spans="16:20" x14ac:dyDescent="0.3">
      <c r="P26" t="s">
        <v>107</v>
      </c>
      <c r="Q26" t="s">
        <v>109</v>
      </c>
      <c r="R26" t="s">
        <v>78</v>
      </c>
      <c r="S26" t="s">
        <v>52</v>
      </c>
      <c r="T26" s="4">
        <v>5668</v>
      </c>
    </row>
    <row r="27" spans="16:20" x14ac:dyDescent="0.3">
      <c r="P27" t="s">
        <v>110</v>
      </c>
      <c r="Q27" t="s">
        <v>113</v>
      </c>
      <c r="R27" t="s">
        <v>112</v>
      </c>
      <c r="S27" t="s">
        <v>35</v>
      </c>
      <c r="T27" s="4">
        <v>245328</v>
      </c>
    </row>
    <row r="28" spans="16:20" x14ac:dyDescent="0.3">
      <c r="P28" t="s">
        <v>114</v>
      </c>
      <c r="Q28" t="s">
        <v>116</v>
      </c>
      <c r="R28" t="s">
        <v>78</v>
      </c>
      <c r="S28" t="s">
        <v>17</v>
      </c>
      <c r="T28" s="4">
        <v>307</v>
      </c>
    </row>
    <row r="29" spans="16:20" x14ac:dyDescent="0.3">
      <c r="P29" t="s">
        <v>117</v>
      </c>
      <c r="Q29" t="s">
        <v>16</v>
      </c>
      <c r="R29" t="s">
        <v>33</v>
      </c>
      <c r="S29" t="s">
        <v>17</v>
      </c>
      <c r="T29" s="4">
        <v>4251</v>
      </c>
    </row>
    <row r="30" spans="16:20" x14ac:dyDescent="0.3">
      <c r="P30" t="s">
        <v>120</v>
      </c>
      <c r="Q30" t="s">
        <v>34</v>
      </c>
      <c r="R30" t="s">
        <v>122</v>
      </c>
      <c r="S30" t="s">
        <v>35</v>
      </c>
      <c r="T30" s="4">
        <v>195428</v>
      </c>
    </row>
    <row r="31" spans="16:20" x14ac:dyDescent="0.3">
      <c r="P31" t="s">
        <v>123</v>
      </c>
      <c r="Q31" t="s">
        <v>86</v>
      </c>
      <c r="R31" t="s">
        <v>125</v>
      </c>
      <c r="S31" t="s">
        <v>17</v>
      </c>
      <c r="T31" s="4">
        <v>11697</v>
      </c>
    </row>
    <row r="32" spans="16:20" x14ac:dyDescent="0.3">
      <c r="P32" t="s">
        <v>127</v>
      </c>
      <c r="Q32" t="s">
        <v>130</v>
      </c>
      <c r="R32" t="s">
        <v>129</v>
      </c>
      <c r="S32" t="s">
        <v>35</v>
      </c>
      <c r="T32" s="4">
        <v>218908</v>
      </c>
    </row>
    <row r="33" spans="16:20" x14ac:dyDescent="0.3">
      <c r="P33" t="s">
        <v>131</v>
      </c>
      <c r="Q33" t="s">
        <v>16</v>
      </c>
      <c r="R33" t="s">
        <v>133</v>
      </c>
      <c r="S33" t="s">
        <v>17</v>
      </c>
      <c r="T33" s="4">
        <v>4467</v>
      </c>
    </row>
    <row r="34" spans="16:20" x14ac:dyDescent="0.3">
      <c r="P34" t="s">
        <v>134</v>
      </c>
      <c r="Q34" t="s">
        <v>79</v>
      </c>
      <c r="R34" t="s">
        <v>129</v>
      </c>
      <c r="S34" t="s">
        <v>26</v>
      </c>
      <c r="T34" s="4">
        <v>9621</v>
      </c>
    </row>
    <row r="35" spans="16:20" x14ac:dyDescent="0.3">
      <c r="P35" t="s">
        <v>136</v>
      </c>
      <c r="Q35" t="s">
        <v>59</v>
      </c>
      <c r="R35" t="s">
        <v>40</v>
      </c>
      <c r="S35" t="s">
        <v>26</v>
      </c>
      <c r="T35" s="4">
        <v>23452</v>
      </c>
    </row>
    <row r="36" spans="16:20" x14ac:dyDescent="0.3">
      <c r="P36" t="s">
        <v>138</v>
      </c>
      <c r="Q36" t="s">
        <v>90</v>
      </c>
      <c r="R36" t="s">
        <v>133</v>
      </c>
      <c r="S36" t="s">
        <v>42</v>
      </c>
      <c r="T36" s="4">
        <v>15564</v>
      </c>
    </row>
    <row r="37" spans="16:20" x14ac:dyDescent="0.3">
      <c r="P37" t="s">
        <v>140</v>
      </c>
      <c r="Q37" t="s">
        <v>90</v>
      </c>
      <c r="R37" t="s">
        <v>75</v>
      </c>
      <c r="S37" t="s">
        <v>42</v>
      </c>
      <c r="T37" s="4">
        <v>5576</v>
      </c>
    </row>
    <row r="38" spans="16:20" x14ac:dyDescent="0.3">
      <c r="P38" t="s">
        <v>142</v>
      </c>
      <c r="Q38" t="s">
        <v>63</v>
      </c>
      <c r="R38" t="s">
        <v>50</v>
      </c>
      <c r="S38" t="s">
        <v>52</v>
      </c>
      <c r="T38" s="4">
        <v>2196</v>
      </c>
    </row>
    <row r="39" spans="16:20" x14ac:dyDescent="0.3">
      <c r="P39" t="s">
        <v>145</v>
      </c>
      <c r="Q39" t="s">
        <v>147</v>
      </c>
      <c r="R39" t="s">
        <v>146</v>
      </c>
      <c r="S39" t="s">
        <v>52</v>
      </c>
      <c r="T39" s="4">
        <v>6790</v>
      </c>
    </row>
    <row r="40" spans="16:20" x14ac:dyDescent="0.3">
      <c r="P40" t="s">
        <v>148</v>
      </c>
      <c r="Q40" t="s">
        <v>90</v>
      </c>
      <c r="R40" t="s">
        <v>112</v>
      </c>
      <c r="S40" t="s">
        <v>42</v>
      </c>
      <c r="T40" s="4">
        <v>22584</v>
      </c>
    </row>
    <row r="41" spans="16:20" x14ac:dyDescent="0.3">
      <c r="P41" t="s">
        <v>150</v>
      </c>
      <c r="Q41" t="s">
        <v>41</v>
      </c>
      <c r="R41" t="s">
        <v>50</v>
      </c>
      <c r="S41" t="s">
        <v>42</v>
      </c>
      <c r="T41" s="4">
        <v>20496</v>
      </c>
    </row>
    <row r="42" spans="16:20" x14ac:dyDescent="0.3">
      <c r="P42" t="s">
        <v>151</v>
      </c>
      <c r="Q42" t="s">
        <v>116</v>
      </c>
      <c r="R42" t="s">
        <v>58</v>
      </c>
      <c r="S42" t="s">
        <v>17</v>
      </c>
      <c r="T42" s="4">
        <v>8466</v>
      </c>
    </row>
    <row r="43" spans="16:20" x14ac:dyDescent="0.3">
      <c r="P43" t="s">
        <v>153</v>
      </c>
      <c r="Q43" t="s">
        <v>41</v>
      </c>
      <c r="R43" t="s">
        <v>122</v>
      </c>
      <c r="S43" t="s">
        <v>42</v>
      </c>
      <c r="T43" s="4">
        <v>25865</v>
      </c>
    </row>
    <row r="44" spans="16:20" x14ac:dyDescent="0.3">
      <c r="P44" t="s">
        <v>155</v>
      </c>
      <c r="Q44" t="s">
        <v>116</v>
      </c>
      <c r="R44" t="s">
        <v>58</v>
      </c>
      <c r="S44" t="s">
        <v>17</v>
      </c>
      <c r="T44" s="4">
        <v>12481</v>
      </c>
    </row>
    <row r="45" spans="16:20" x14ac:dyDescent="0.3">
      <c r="P45" t="s">
        <v>157</v>
      </c>
      <c r="Q45" t="s">
        <v>159</v>
      </c>
      <c r="R45" t="s">
        <v>50</v>
      </c>
      <c r="S45" t="s">
        <v>42</v>
      </c>
      <c r="T45" s="4">
        <v>10143</v>
      </c>
    </row>
    <row r="46" spans="16:20" x14ac:dyDescent="0.3">
      <c r="P46" t="s">
        <v>160</v>
      </c>
      <c r="Q46" t="s">
        <v>116</v>
      </c>
      <c r="R46" t="s">
        <v>15</v>
      </c>
      <c r="S46" t="s">
        <v>17</v>
      </c>
      <c r="T46" s="4">
        <v>1016</v>
      </c>
    </row>
    <row r="47" spans="16:20" x14ac:dyDescent="0.3">
      <c r="P47" t="s">
        <v>162</v>
      </c>
      <c r="Q47" t="s">
        <v>51</v>
      </c>
      <c r="R47" t="s">
        <v>24</v>
      </c>
      <c r="S47" t="s">
        <v>52</v>
      </c>
      <c r="T47" s="4">
        <v>2284</v>
      </c>
    </row>
    <row r="48" spans="16:20" x14ac:dyDescent="0.3">
      <c r="P48" t="s">
        <v>164</v>
      </c>
      <c r="Q48" t="s">
        <v>165</v>
      </c>
      <c r="R48" t="s">
        <v>45</v>
      </c>
      <c r="S48" t="s">
        <v>35</v>
      </c>
      <c r="T48" s="4">
        <v>87227</v>
      </c>
    </row>
    <row r="49" spans="16:20" x14ac:dyDescent="0.3">
      <c r="P49" t="s">
        <v>166</v>
      </c>
      <c r="Q49" t="s">
        <v>69</v>
      </c>
      <c r="R49" t="s">
        <v>133</v>
      </c>
      <c r="S49" t="s">
        <v>26</v>
      </c>
      <c r="T49" s="4">
        <v>46092</v>
      </c>
    </row>
    <row r="50" spans="16:20" x14ac:dyDescent="0.3">
      <c r="P50" t="s">
        <v>168</v>
      </c>
      <c r="Q50" t="s">
        <v>159</v>
      </c>
      <c r="R50" t="s">
        <v>170</v>
      </c>
      <c r="S50" t="s">
        <v>42</v>
      </c>
      <c r="T50" s="4">
        <v>22540</v>
      </c>
    </row>
    <row r="51" spans="16:20" x14ac:dyDescent="0.3">
      <c r="P51" t="s">
        <v>171</v>
      </c>
      <c r="Q51" t="s">
        <v>159</v>
      </c>
      <c r="R51" t="s">
        <v>103</v>
      </c>
      <c r="S51" t="s">
        <v>42</v>
      </c>
      <c r="T51" s="4">
        <v>23534</v>
      </c>
    </row>
    <row r="52" spans="16:20" x14ac:dyDescent="0.3">
      <c r="P52" t="s">
        <v>173</v>
      </c>
      <c r="Q52" t="s">
        <v>25</v>
      </c>
      <c r="R52" t="s">
        <v>125</v>
      </c>
      <c r="S52" t="s">
        <v>26</v>
      </c>
      <c r="T52" s="4">
        <v>39584</v>
      </c>
    </row>
    <row r="53" spans="16:20" x14ac:dyDescent="0.3">
      <c r="P53" t="s">
        <v>175</v>
      </c>
      <c r="Q53" t="s">
        <v>34</v>
      </c>
      <c r="R53" t="s">
        <v>129</v>
      </c>
      <c r="S53" t="s">
        <v>35</v>
      </c>
      <c r="T53" s="4">
        <v>258124</v>
      </c>
    </row>
    <row r="54" spans="16:20" x14ac:dyDescent="0.3">
      <c r="P54" t="s">
        <v>177</v>
      </c>
      <c r="Q54" t="s">
        <v>130</v>
      </c>
      <c r="R54" t="s">
        <v>179</v>
      </c>
      <c r="S54" t="s">
        <v>35</v>
      </c>
      <c r="T54" s="4">
        <v>87718</v>
      </c>
    </row>
    <row r="55" spans="16:20" x14ac:dyDescent="0.3">
      <c r="P55" t="s">
        <v>180</v>
      </c>
      <c r="Q55" t="s">
        <v>59</v>
      </c>
      <c r="R55" t="s">
        <v>103</v>
      </c>
      <c r="S55" t="s">
        <v>26</v>
      </c>
      <c r="T55" s="4">
        <v>23008</v>
      </c>
    </row>
    <row r="56" spans="16:20" x14ac:dyDescent="0.3">
      <c r="P56" t="s">
        <v>182</v>
      </c>
      <c r="Q56" t="s">
        <v>51</v>
      </c>
      <c r="R56" t="s">
        <v>103</v>
      </c>
      <c r="S56" t="s">
        <v>52</v>
      </c>
      <c r="T56" s="4">
        <v>1414</v>
      </c>
    </row>
    <row r="57" spans="16:20" x14ac:dyDescent="0.3">
      <c r="P57" t="s">
        <v>184</v>
      </c>
      <c r="Q57" t="s">
        <v>90</v>
      </c>
      <c r="R57" t="s">
        <v>78</v>
      </c>
      <c r="S57" t="s">
        <v>42</v>
      </c>
      <c r="T57" s="4">
        <v>3189</v>
      </c>
    </row>
    <row r="58" spans="16:20" x14ac:dyDescent="0.3">
      <c r="P58" t="s">
        <v>186</v>
      </c>
      <c r="Q58" t="s">
        <v>90</v>
      </c>
      <c r="R58" t="s">
        <v>75</v>
      </c>
      <c r="S58" t="s">
        <v>42</v>
      </c>
      <c r="T58" s="4">
        <v>10584</v>
      </c>
    </row>
    <row r="59" spans="16:20" x14ac:dyDescent="0.3">
      <c r="P59" t="s">
        <v>188</v>
      </c>
      <c r="Q59" t="s">
        <v>25</v>
      </c>
      <c r="R59" t="s">
        <v>40</v>
      </c>
      <c r="S59" t="s">
        <v>26</v>
      </c>
      <c r="T59" s="4">
        <v>5571</v>
      </c>
    </row>
    <row r="60" spans="16:20" x14ac:dyDescent="0.3">
      <c r="P60" t="s">
        <v>190</v>
      </c>
      <c r="Q60" t="s">
        <v>109</v>
      </c>
      <c r="R60" t="s">
        <v>72</v>
      </c>
      <c r="S60" t="s">
        <v>52</v>
      </c>
      <c r="T60" s="4">
        <v>2880</v>
      </c>
    </row>
    <row r="61" spans="16:20" x14ac:dyDescent="0.3">
      <c r="P61" t="s">
        <v>193</v>
      </c>
      <c r="Q61" t="s">
        <v>165</v>
      </c>
      <c r="R61" t="s">
        <v>146</v>
      </c>
      <c r="S61" t="s">
        <v>35</v>
      </c>
      <c r="T61" s="4">
        <v>319665</v>
      </c>
    </row>
    <row r="62" spans="16:20" x14ac:dyDescent="0.3">
      <c r="P62" t="s">
        <v>194</v>
      </c>
      <c r="Q62" t="s">
        <v>165</v>
      </c>
      <c r="R62" t="s">
        <v>58</v>
      </c>
      <c r="S62" t="s">
        <v>35</v>
      </c>
      <c r="T62" s="4">
        <v>77892</v>
      </c>
    </row>
    <row r="63" spans="16:20" x14ac:dyDescent="0.3">
      <c r="P63" t="s">
        <v>196</v>
      </c>
      <c r="Q63" t="s">
        <v>69</v>
      </c>
      <c r="R63" t="s">
        <v>170</v>
      </c>
      <c r="S63" t="s">
        <v>26</v>
      </c>
      <c r="T63" s="4">
        <v>25500</v>
      </c>
    </row>
    <row r="64" spans="16:20" x14ac:dyDescent="0.3">
      <c r="P64" t="s">
        <v>198</v>
      </c>
      <c r="Q64" t="s">
        <v>97</v>
      </c>
      <c r="R64" t="s">
        <v>170</v>
      </c>
      <c r="S64" t="s">
        <v>35</v>
      </c>
      <c r="T64" s="4">
        <v>596816</v>
      </c>
    </row>
    <row r="65" spans="16:20" x14ac:dyDescent="0.3">
      <c r="P65" t="s">
        <v>200</v>
      </c>
      <c r="Q65" t="s">
        <v>69</v>
      </c>
      <c r="R65" t="s">
        <v>179</v>
      </c>
      <c r="S65" t="s">
        <v>26</v>
      </c>
      <c r="T65" s="4">
        <v>8967</v>
      </c>
    </row>
    <row r="66" spans="16:20" x14ac:dyDescent="0.3">
      <c r="P66" t="s">
        <v>202</v>
      </c>
      <c r="Q66" t="s">
        <v>90</v>
      </c>
      <c r="R66" t="s">
        <v>75</v>
      </c>
      <c r="S66" t="s">
        <v>42</v>
      </c>
      <c r="T66" s="4">
        <v>3245</v>
      </c>
    </row>
    <row r="67" spans="16:20" x14ac:dyDescent="0.3">
      <c r="P67" t="s">
        <v>204</v>
      </c>
      <c r="Q67" t="s">
        <v>86</v>
      </c>
      <c r="R67" t="s">
        <v>50</v>
      </c>
      <c r="S67" t="s">
        <v>17</v>
      </c>
      <c r="T67" s="4">
        <v>6710</v>
      </c>
    </row>
    <row r="68" spans="16:20" x14ac:dyDescent="0.3">
      <c r="P68" t="s">
        <v>206</v>
      </c>
      <c r="Q68" t="s">
        <v>97</v>
      </c>
      <c r="R68" t="s">
        <v>72</v>
      </c>
      <c r="S68" t="s">
        <v>35</v>
      </c>
      <c r="T68" s="4">
        <v>208160</v>
      </c>
    </row>
    <row r="69" spans="16:20" x14ac:dyDescent="0.3">
      <c r="P69" t="s">
        <v>208</v>
      </c>
      <c r="Q69" t="s">
        <v>165</v>
      </c>
      <c r="R69" t="s">
        <v>33</v>
      </c>
      <c r="S69" t="s">
        <v>35</v>
      </c>
      <c r="T69" s="4">
        <v>190589</v>
      </c>
    </row>
    <row r="70" spans="16:20" x14ac:dyDescent="0.3">
      <c r="P70" t="s">
        <v>210</v>
      </c>
      <c r="Q70" t="s">
        <v>159</v>
      </c>
      <c r="R70" t="s">
        <v>68</v>
      </c>
      <c r="S70" t="s">
        <v>42</v>
      </c>
      <c r="T70" s="4">
        <v>3419</v>
      </c>
    </row>
    <row r="71" spans="16:20" x14ac:dyDescent="0.3">
      <c r="P71" t="s">
        <v>212</v>
      </c>
      <c r="Q71" t="s">
        <v>51</v>
      </c>
      <c r="R71" t="s">
        <v>170</v>
      </c>
      <c r="S71" t="s">
        <v>52</v>
      </c>
      <c r="T71" s="4">
        <v>6519</v>
      </c>
    </row>
    <row r="72" spans="16:20" x14ac:dyDescent="0.3">
      <c r="P72" t="s">
        <v>214</v>
      </c>
      <c r="Q72" t="s">
        <v>41</v>
      </c>
      <c r="R72" t="s">
        <v>146</v>
      </c>
      <c r="S72" t="s">
        <v>42</v>
      </c>
      <c r="T72" s="4">
        <v>2880</v>
      </c>
    </row>
    <row r="73" spans="16:20" x14ac:dyDescent="0.3">
      <c r="P73" t="s">
        <v>216</v>
      </c>
      <c r="Q73" t="s">
        <v>218</v>
      </c>
      <c r="R73" t="s">
        <v>24</v>
      </c>
      <c r="S73" t="s">
        <v>17</v>
      </c>
      <c r="T73" s="4">
        <v>5170</v>
      </c>
    </row>
    <row r="74" spans="16:20" x14ac:dyDescent="0.3">
      <c r="P74" t="s">
        <v>219</v>
      </c>
      <c r="Q74" t="s">
        <v>79</v>
      </c>
      <c r="R74" t="s">
        <v>40</v>
      </c>
      <c r="S74" t="s">
        <v>26</v>
      </c>
      <c r="T74" s="4">
        <v>14949</v>
      </c>
    </row>
    <row r="75" spans="16:20" x14ac:dyDescent="0.3">
      <c r="P75" t="s">
        <v>221</v>
      </c>
      <c r="Q75" t="s">
        <v>46</v>
      </c>
      <c r="R75" t="s">
        <v>125</v>
      </c>
      <c r="S75" t="s">
        <v>42</v>
      </c>
      <c r="T75" s="4">
        <v>22210</v>
      </c>
    </row>
    <row r="76" spans="16:20" x14ac:dyDescent="0.3">
      <c r="P76" t="s">
        <v>223</v>
      </c>
      <c r="Q76" t="s">
        <v>59</v>
      </c>
      <c r="R76" t="s">
        <v>45</v>
      </c>
      <c r="S76" t="s">
        <v>26</v>
      </c>
      <c r="T76" s="4">
        <v>26485</v>
      </c>
    </row>
    <row r="77" spans="16:20" x14ac:dyDescent="0.3">
      <c r="P77" t="s">
        <v>225</v>
      </c>
      <c r="Q77" t="s">
        <v>109</v>
      </c>
      <c r="R77" t="s">
        <v>40</v>
      </c>
      <c r="S77" t="s">
        <v>52</v>
      </c>
      <c r="T77" s="4">
        <v>5104</v>
      </c>
    </row>
    <row r="78" spans="16:20" x14ac:dyDescent="0.3">
      <c r="P78" t="s">
        <v>227</v>
      </c>
      <c r="Q78" t="s">
        <v>147</v>
      </c>
      <c r="R78" t="s">
        <v>112</v>
      </c>
      <c r="S78" t="s">
        <v>52</v>
      </c>
      <c r="T78" s="4">
        <v>5814</v>
      </c>
    </row>
    <row r="79" spans="16:20" x14ac:dyDescent="0.3">
      <c r="P79" t="s">
        <v>229</v>
      </c>
      <c r="Q79" t="s">
        <v>97</v>
      </c>
      <c r="R79" t="s">
        <v>78</v>
      </c>
      <c r="S79" t="s">
        <v>35</v>
      </c>
      <c r="T79" s="4">
        <v>74214</v>
      </c>
    </row>
    <row r="80" spans="16:20" x14ac:dyDescent="0.3">
      <c r="P80" t="s">
        <v>230</v>
      </c>
      <c r="Q80" t="s">
        <v>218</v>
      </c>
      <c r="R80" t="s">
        <v>68</v>
      </c>
      <c r="S80" t="s">
        <v>17</v>
      </c>
      <c r="T80" s="4">
        <v>2462</v>
      </c>
    </row>
    <row r="81" spans="16:20" x14ac:dyDescent="0.3">
      <c r="P81" t="s">
        <v>232</v>
      </c>
      <c r="Q81" t="s">
        <v>218</v>
      </c>
      <c r="R81" t="s">
        <v>33</v>
      </c>
      <c r="S81" t="s">
        <v>17</v>
      </c>
      <c r="T81" s="4">
        <v>6504</v>
      </c>
    </row>
    <row r="82" spans="16:20" x14ac:dyDescent="0.3">
      <c r="P82" t="s">
        <v>234</v>
      </c>
      <c r="Q82" t="s">
        <v>16</v>
      </c>
      <c r="R82" t="s">
        <v>133</v>
      </c>
      <c r="S82" t="s">
        <v>17</v>
      </c>
      <c r="T82" s="4">
        <v>3285</v>
      </c>
    </row>
    <row r="83" spans="16:20" x14ac:dyDescent="0.3">
      <c r="P83" t="s">
        <v>236</v>
      </c>
      <c r="Q83" t="s">
        <v>69</v>
      </c>
      <c r="R83" t="s">
        <v>68</v>
      </c>
      <c r="S83" t="s">
        <v>26</v>
      </c>
      <c r="T83" s="4">
        <v>8085</v>
      </c>
    </row>
    <row r="84" spans="16:20" x14ac:dyDescent="0.3">
      <c r="P84" t="s">
        <v>238</v>
      </c>
      <c r="Q84" t="s">
        <v>116</v>
      </c>
      <c r="R84" t="s">
        <v>33</v>
      </c>
      <c r="S84" t="s">
        <v>17</v>
      </c>
      <c r="T84" s="4">
        <v>2200</v>
      </c>
    </row>
    <row r="85" spans="16:20" x14ac:dyDescent="0.3">
      <c r="P85" t="s">
        <v>239</v>
      </c>
      <c r="Q85" t="s">
        <v>79</v>
      </c>
      <c r="R85" t="s">
        <v>103</v>
      </c>
      <c r="S85" t="s">
        <v>26</v>
      </c>
      <c r="T85" s="4">
        <v>12868</v>
      </c>
    </row>
    <row r="86" spans="16:20" x14ac:dyDescent="0.3">
      <c r="P86" t="s">
        <v>240</v>
      </c>
      <c r="Q86" t="s">
        <v>147</v>
      </c>
      <c r="R86" t="s">
        <v>103</v>
      </c>
      <c r="S86" t="s">
        <v>52</v>
      </c>
      <c r="T86" s="4">
        <v>310</v>
      </c>
    </row>
    <row r="87" spans="16:20" x14ac:dyDescent="0.3">
      <c r="P87" t="s">
        <v>241</v>
      </c>
      <c r="Q87" t="s">
        <v>25</v>
      </c>
      <c r="R87" t="s">
        <v>45</v>
      </c>
      <c r="S87" t="s">
        <v>26</v>
      </c>
      <c r="T87" s="4">
        <v>20688</v>
      </c>
    </row>
    <row r="88" spans="16:20" x14ac:dyDescent="0.3">
      <c r="P88" t="s">
        <v>243</v>
      </c>
      <c r="Q88" t="s">
        <v>16</v>
      </c>
      <c r="R88" t="s">
        <v>45</v>
      </c>
      <c r="S88" t="s">
        <v>17</v>
      </c>
      <c r="T88" s="4">
        <v>8211</v>
      </c>
    </row>
    <row r="89" spans="16:20" x14ac:dyDescent="0.3">
      <c r="P89" t="s">
        <v>245</v>
      </c>
      <c r="Q89" t="s">
        <v>165</v>
      </c>
      <c r="R89" t="s">
        <v>68</v>
      </c>
      <c r="S89" t="s">
        <v>35</v>
      </c>
      <c r="T89" s="4">
        <v>246912</v>
      </c>
    </row>
    <row r="90" spans="16:20" x14ac:dyDescent="0.3">
      <c r="P90" t="s">
        <v>247</v>
      </c>
      <c r="Q90" t="s">
        <v>159</v>
      </c>
      <c r="R90" t="s">
        <v>129</v>
      </c>
      <c r="S90" t="s">
        <v>42</v>
      </c>
      <c r="T90" s="4">
        <v>8868</v>
      </c>
    </row>
    <row r="91" spans="16:20" x14ac:dyDescent="0.3">
      <c r="P91" t="s">
        <v>248</v>
      </c>
      <c r="Q91" t="s">
        <v>16</v>
      </c>
      <c r="R91" t="s">
        <v>68</v>
      </c>
      <c r="S91" t="s">
        <v>17</v>
      </c>
      <c r="T91" s="4">
        <v>3479</v>
      </c>
    </row>
    <row r="92" spans="16:20" x14ac:dyDescent="0.3">
      <c r="P92" t="s">
        <v>249</v>
      </c>
      <c r="Q92" t="s">
        <v>218</v>
      </c>
      <c r="R92" t="s">
        <v>122</v>
      </c>
      <c r="S92" t="s">
        <v>17</v>
      </c>
      <c r="T92" s="4">
        <v>5100</v>
      </c>
    </row>
    <row r="93" spans="16:20" x14ac:dyDescent="0.3">
      <c r="P93" t="s">
        <v>251</v>
      </c>
      <c r="Q93" t="s">
        <v>218</v>
      </c>
      <c r="R93" t="s">
        <v>170</v>
      </c>
      <c r="S93" t="s">
        <v>17</v>
      </c>
      <c r="T93" s="4">
        <v>4712</v>
      </c>
    </row>
    <row r="94" spans="16:20" x14ac:dyDescent="0.3">
      <c r="P94" t="s">
        <v>253</v>
      </c>
      <c r="Q94" t="s">
        <v>51</v>
      </c>
      <c r="R94" t="s">
        <v>170</v>
      </c>
      <c r="S94" t="s">
        <v>52</v>
      </c>
      <c r="T94" s="4">
        <v>1125</v>
      </c>
    </row>
    <row r="95" spans="16:20" x14ac:dyDescent="0.3">
      <c r="P95" t="s">
        <v>254</v>
      </c>
      <c r="Q95" t="s">
        <v>165</v>
      </c>
      <c r="R95" t="s">
        <v>146</v>
      </c>
      <c r="S95" t="s">
        <v>35</v>
      </c>
      <c r="T95" s="4">
        <v>46264</v>
      </c>
    </row>
    <row r="96" spans="16:20" x14ac:dyDescent="0.3">
      <c r="P96" t="s">
        <v>256</v>
      </c>
      <c r="Q96" t="s">
        <v>69</v>
      </c>
      <c r="R96" t="s">
        <v>112</v>
      </c>
      <c r="S96" t="s">
        <v>26</v>
      </c>
      <c r="T96" s="4">
        <v>39215</v>
      </c>
    </row>
    <row r="97" spans="16:20" x14ac:dyDescent="0.3">
      <c r="P97" t="s">
        <v>258</v>
      </c>
      <c r="Q97" t="s">
        <v>51</v>
      </c>
      <c r="R97" t="s">
        <v>170</v>
      </c>
      <c r="S97" t="s">
        <v>52</v>
      </c>
      <c r="T97" s="4">
        <v>1087</v>
      </c>
    </row>
    <row r="98" spans="16:20" x14ac:dyDescent="0.3">
      <c r="P98" t="s">
        <v>260</v>
      </c>
      <c r="Q98" t="s">
        <v>159</v>
      </c>
      <c r="R98" t="s">
        <v>50</v>
      </c>
      <c r="S98" t="s">
        <v>42</v>
      </c>
      <c r="T98" s="4">
        <v>36939</v>
      </c>
    </row>
    <row r="99" spans="16:20" x14ac:dyDescent="0.3">
      <c r="P99" t="s">
        <v>262</v>
      </c>
      <c r="Q99" t="s">
        <v>116</v>
      </c>
      <c r="R99" t="s">
        <v>50</v>
      </c>
      <c r="S99" t="s">
        <v>17</v>
      </c>
      <c r="T99" s="4">
        <v>8874</v>
      </c>
    </row>
    <row r="100" spans="16:20" x14ac:dyDescent="0.3">
      <c r="P100" t="s">
        <v>264</v>
      </c>
      <c r="Q100" t="s">
        <v>69</v>
      </c>
      <c r="R100" t="s">
        <v>50</v>
      </c>
      <c r="S100" t="s">
        <v>26</v>
      </c>
      <c r="T100" s="4">
        <v>47628</v>
      </c>
    </row>
    <row r="101" spans="16:20" x14ac:dyDescent="0.3">
      <c r="P101" t="s">
        <v>265</v>
      </c>
      <c r="Q101" t="s">
        <v>34</v>
      </c>
      <c r="R101" t="s">
        <v>122</v>
      </c>
      <c r="S101" t="s">
        <v>35</v>
      </c>
      <c r="T101" s="4">
        <v>55830</v>
      </c>
    </row>
    <row r="102" spans="16:20" x14ac:dyDescent="0.3">
      <c r="P102" t="s">
        <v>266</v>
      </c>
      <c r="Q102" t="s">
        <v>63</v>
      </c>
      <c r="R102" t="s">
        <v>58</v>
      </c>
      <c r="S102" t="s">
        <v>52</v>
      </c>
      <c r="T102" s="4">
        <v>1674</v>
      </c>
    </row>
    <row r="103" spans="16:20" x14ac:dyDescent="0.3">
      <c r="P103" t="s">
        <v>268</v>
      </c>
      <c r="Q103" t="s">
        <v>51</v>
      </c>
      <c r="R103" t="s">
        <v>40</v>
      </c>
      <c r="S103" t="s">
        <v>52</v>
      </c>
      <c r="T103" s="4">
        <v>11920</v>
      </c>
    </row>
    <row r="104" spans="16:20" x14ac:dyDescent="0.3">
      <c r="P104" t="s">
        <v>269</v>
      </c>
      <c r="Q104" t="s">
        <v>218</v>
      </c>
      <c r="R104" t="s">
        <v>146</v>
      </c>
      <c r="S104" t="s">
        <v>17</v>
      </c>
      <c r="T104" s="4">
        <v>3240</v>
      </c>
    </row>
    <row r="105" spans="16:20" x14ac:dyDescent="0.3">
      <c r="P105" t="s">
        <v>270</v>
      </c>
      <c r="Q105" t="s">
        <v>69</v>
      </c>
      <c r="R105" t="s">
        <v>33</v>
      </c>
      <c r="S105" t="s">
        <v>26</v>
      </c>
      <c r="T105" s="4">
        <v>6543</v>
      </c>
    </row>
    <row r="106" spans="16:20" x14ac:dyDescent="0.3">
      <c r="P106" t="s">
        <v>272</v>
      </c>
      <c r="Q106" t="s">
        <v>79</v>
      </c>
      <c r="R106" t="s">
        <v>75</v>
      </c>
      <c r="S106" t="s">
        <v>26</v>
      </c>
      <c r="T106" s="4">
        <v>71538</v>
      </c>
    </row>
    <row r="107" spans="16:20" x14ac:dyDescent="0.3">
      <c r="P107" t="s">
        <v>274</v>
      </c>
      <c r="Q107" t="s">
        <v>130</v>
      </c>
      <c r="R107" t="s">
        <v>72</v>
      </c>
      <c r="S107" t="s">
        <v>35</v>
      </c>
      <c r="T107" s="4">
        <v>236640</v>
      </c>
    </row>
    <row r="108" spans="16:20" x14ac:dyDescent="0.3">
      <c r="P108" t="s">
        <v>276</v>
      </c>
      <c r="Q108" t="s">
        <v>69</v>
      </c>
      <c r="R108" t="s">
        <v>15</v>
      </c>
      <c r="S108" t="s">
        <v>26</v>
      </c>
      <c r="T108" s="4">
        <v>70704</v>
      </c>
    </row>
    <row r="109" spans="16:20" x14ac:dyDescent="0.3">
      <c r="P109" t="s">
        <v>278</v>
      </c>
      <c r="Q109" t="s">
        <v>109</v>
      </c>
      <c r="R109" t="s">
        <v>112</v>
      </c>
      <c r="S109" t="s">
        <v>52</v>
      </c>
      <c r="T109" s="4">
        <v>3252</v>
      </c>
    </row>
    <row r="110" spans="16:20" x14ac:dyDescent="0.3">
      <c r="P110" t="s">
        <v>280</v>
      </c>
      <c r="Q110" t="s">
        <v>79</v>
      </c>
      <c r="R110" t="s">
        <v>133</v>
      </c>
      <c r="S110" t="s">
        <v>26</v>
      </c>
      <c r="T110" s="4">
        <v>24584</v>
      </c>
    </row>
    <row r="111" spans="16:20" x14ac:dyDescent="0.3">
      <c r="P111" t="s">
        <v>281</v>
      </c>
      <c r="Q111" t="s">
        <v>59</v>
      </c>
      <c r="R111" t="s">
        <v>146</v>
      </c>
      <c r="S111" t="s">
        <v>26</v>
      </c>
      <c r="T111" s="4">
        <v>15912</v>
      </c>
    </row>
    <row r="112" spans="16:20" x14ac:dyDescent="0.3">
      <c r="P112" t="s">
        <v>283</v>
      </c>
      <c r="Q112" t="s">
        <v>63</v>
      </c>
      <c r="R112" t="s">
        <v>40</v>
      </c>
      <c r="S112" t="s">
        <v>52</v>
      </c>
      <c r="T112" s="4">
        <v>1389</v>
      </c>
    </row>
    <row r="113" spans="16:20" x14ac:dyDescent="0.3">
      <c r="P113" t="s">
        <v>285</v>
      </c>
      <c r="Q113" t="s">
        <v>159</v>
      </c>
      <c r="R113" t="s">
        <v>122</v>
      </c>
      <c r="S113" t="s">
        <v>42</v>
      </c>
      <c r="T113" s="4">
        <v>1836</v>
      </c>
    </row>
    <row r="114" spans="16:20" x14ac:dyDescent="0.3">
      <c r="P114" t="s">
        <v>287</v>
      </c>
      <c r="Q114" t="s">
        <v>147</v>
      </c>
      <c r="R114" t="s">
        <v>72</v>
      </c>
      <c r="S114" t="s">
        <v>52</v>
      </c>
      <c r="T114" s="4">
        <v>3246</v>
      </c>
    </row>
    <row r="115" spans="16:20" x14ac:dyDescent="0.3">
      <c r="P115" t="s">
        <v>289</v>
      </c>
      <c r="Q115" t="s">
        <v>25</v>
      </c>
      <c r="R115" t="s">
        <v>40</v>
      </c>
      <c r="S115" t="s">
        <v>26</v>
      </c>
      <c r="T115" s="4">
        <v>10775</v>
      </c>
    </row>
    <row r="116" spans="16:20" x14ac:dyDescent="0.3">
      <c r="P116" t="s">
        <v>291</v>
      </c>
      <c r="Q116" t="s">
        <v>86</v>
      </c>
      <c r="R116" t="s">
        <v>72</v>
      </c>
      <c r="S116" t="s">
        <v>17</v>
      </c>
      <c r="T116" s="4">
        <v>3424</v>
      </c>
    </row>
    <row r="117" spans="16:20" x14ac:dyDescent="0.3">
      <c r="P117" t="s">
        <v>293</v>
      </c>
      <c r="Q117" t="s">
        <v>59</v>
      </c>
      <c r="R117" t="s">
        <v>50</v>
      </c>
      <c r="S117" t="s">
        <v>26</v>
      </c>
      <c r="T117" s="4">
        <v>13356</v>
      </c>
    </row>
    <row r="118" spans="16:20" x14ac:dyDescent="0.3">
      <c r="P118" t="s">
        <v>295</v>
      </c>
      <c r="Q118" t="s">
        <v>130</v>
      </c>
      <c r="R118" t="s">
        <v>72</v>
      </c>
      <c r="S118" t="s">
        <v>35</v>
      </c>
      <c r="T118" s="4">
        <v>204624</v>
      </c>
    </row>
    <row r="119" spans="16:20" x14ac:dyDescent="0.3">
      <c r="P119" t="s">
        <v>297</v>
      </c>
      <c r="Q119" t="s">
        <v>51</v>
      </c>
      <c r="R119" t="s">
        <v>33</v>
      </c>
      <c r="S119" t="s">
        <v>52</v>
      </c>
      <c r="T119" s="4">
        <v>7968</v>
      </c>
    </row>
    <row r="120" spans="16:20" x14ac:dyDescent="0.3">
      <c r="P120" t="s">
        <v>299</v>
      </c>
      <c r="Q120" t="s">
        <v>165</v>
      </c>
      <c r="R120" t="s">
        <v>170</v>
      </c>
      <c r="S120" t="s">
        <v>35</v>
      </c>
      <c r="T120" s="4">
        <v>220384</v>
      </c>
    </row>
    <row r="121" spans="16:20" x14ac:dyDescent="0.3">
      <c r="P121" t="s">
        <v>301</v>
      </c>
      <c r="Q121" t="s">
        <v>90</v>
      </c>
      <c r="R121" t="s">
        <v>75</v>
      </c>
      <c r="S121" t="s">
        <v>42</v>
      </c>
      <c r="T121" s="4">
        <v>33425</v>
      </c>
    </row>
    <row r="122" spans="16:20" x14ac:dyDescent="0.3">
      <c r="P122" t="s">
        <v>303</v>
      </c>
      <c r="Q122" t="s">
        <v>159</v>
      </c>
      <c r="R122" t="s">
        <v>45</v>
      </c>
      <c r="S122" t="s">
        <v>42</v>
      </c>
      <c r="T122" s="4">
        <v>16930</v>
      </c>
    </row>
    <row r="123" spans="16:20" x14ac:dyDescent="0.3">
      <c r="P123" t="s">
        <v>305</v>
      </c>
      <c r="Q123" t="s">
        <v>46</v>
      </c>
      <c r="R123" t="s">
        <v>75</v>
      </c>
      <c r="S123" t="s">
        <v>42</v>
      </c>
      <c r="T123" s="4">
        <v>4263</v>
      </c>
    </row>
    <row r="124" spans="16:20" x14ac:dyDescent="0.3">
      <c r="P124" t="s">
        <v>307</v>
      </c>
      <c r="Q124" t="s">
        <v>79</v>
      </c>
      <c r="R124" t="s">
        <v>129</v>
      </c>
      <c r="S124" t="s">
        <v>26</v>
      </c>
      <c r="T124" s="4">
        <v>5703</v>
      </c>
    </row>
    <row r="125" spans="16:20" x14ac:dyDescent="0.3">
      <c r="P125" t="s">
        <v>309</v>
      </c>
      <c r="Q125" t="s">
        <v>46</v>
      </c>
      <c r="R125" t="s">
        <v>122</v>
      </c>
      <c r="S125" t="s">
        <v>42</v>
      </c>
      <c r="T125" s="4">
        <v>29648</v>
      </c>
    </row>
    <row r="126" spans="16:20" x14ac:dyDescent="0.3">
      <c r="P126" t="s">
        <v>311</v>
      </c>
      <c r="Q126" t="s">
        <v>90</v>
      </c>
      <c r="R126" t="s">
        <v>179</v>
      </c>
      <c r="S126" t="s">
        <v>42</v>
      </c>
      <c r="T126" s="4">
        <v>4914</v>
      </c>
    </row>
    <row r="127" spans="16:20" x14ac:dyDescent="0.3">
      <c r="P127" t="s">
        <v>312</v>
      </c>
      <c r="Q127" t="s">
        <v>159</v>
      </c>
      <c r="R127" t="s">
        <v>24</v>
      </c>
      <c r="S127" t="s">
        <v>42</v>
      </c>
      <c r="T127" s="4">
        <v>2462</v>
      </c>
    </row>
    <row r="128" spans="16:20" x14ac:dyDescent="0.3">
      <c r="P128" t="s">
        <v>314</v>
      </c>
      <c r="Q128" t="s">
        <v>79</v>
      </c>
      <c r="R128" t="s">
        <v>146</v>
      </c>
      <c r="S128" t="s">
        <v>26</v>
      </c>
      <c r="T128" s="4">
        <v>26848</v>
      </c>
    </row>
    <row r="129" spans="16:20" x14ac:dyDescent="0.3">
      <c r="P129" t="s">
        <v>315</v>
      </c>
      <c r="Q129" t="s">
        <v>218</v>
      </c>
      <c r="R129" t="s">
        <v>75</v>
      </c>
      <c r="S129" t="s">
        <v>17</v>
      </c>
      <c r="T129" s="4">
        <v>11008</v>
      </c>
    </row>
    <row r="130" spans="16:20" x14ac:dyDescent="0.3">
      <c r="P130" t="s">
        <v>316</v>
      </c>
      <c r="Q130" t="s">
        <v>63</v>
      </c>
      <c r="R130" t="s">
        <v>170</v>
      </c>
      <c r="S130" t="s">
        <v>52</v>
      </c>
      <c r="T130" s="4">
        <v>3332</v>
      </c>
    </row>
    <row r="131" spans="16:20" x14ac:dyDescent="0.3">
      <c r="P131" t="s">
        <v>317</v>
      </c>
      <c r="Q131" t="s">
        <v>59</v>
      </c>
      <c r="R131" t="s">
        <v>112</v>
      </c>
      <c r="S131" t="s">
        <v>26</v>
      </c>
      <c r="T131" s="4">
        <v>28805</v>
      </c>
    </row>
    <row r="132" spans="16:20" x14ac:dyDescent="0.3">
      <c r="P132" t="s">
        <v>318</v>
      </c>
      <c r="Q132" t="s">
        <v>109</v>
      </c>
      <c r="R132" t="s">
        <v>58</v>
      </c>
      <c r="S132" t="s">
        <v>52</v>
      </c>
      <c r="T132" s="4">
        <v>582</v>
      </c>
    </row>
    <row r="133" spans="16:20" x14ac:dyDescent="0.3">
      <c r="P133" t="s">
        <v>320</v>
      </c>
      <c r="Q133" t="s">
        <v>59</v>
      </c>
      <c r="R133" t="s">
        <v>24</v>
      </c>
      <c r="S133" t="s">
        <v>26</v>
      </c>
      <c r="T133" s="4">
        <v>41150</v>
      </c>
    </row>
    <row r="134" spans="16:20" x14ac:dyDescent="0.3">
      <c r="P134" t="s">
        <v>322</v>
      </c>
      <c r="Q134" t="s">
        <v>159</v>
      </c>
      <c r="R134" t="s">
        <v>170</v>
      </c>
      <c r="S134" t="s">
        <v>42</v>
      </c>
      <c r="T134" s="4">
        <v>11898</v>
      </c>
    </row>
    <row r="135" spans="16:20" x14ac:dyDescent="0.3">
      <c r="P135" t="s">
        <v>323</v>
      </c>
      <c r="Q135" t="s">
        <v>97</v>
      </c>
      <c r="R135" t="s">
        <v>170</v>
      </c>
      <c r="S135" t="s">
        <v>35</v>
      </c>
      <c r="T135" s="4">
        <v>121614</v>
      </c>
    </row>
    <row r="136" spans="16:20" x14ac:dyDescent="0.3">
      <c r="P136" t="s">
        <v>325</v>
      </c>
      <c r="Q136" t="s">
        <v>51</v>
      </c>
      <c r="R136" t="s">
        <v>122</v>
      </c>
      <c r="S136" t="s">
        <v>52</v>
      </c>
      <c r="T136" s="4">
        <v>12104</v>
      </c>
    </row>
    <row r="137" spans="16:20" x14ac:dyDescent="0.3">
      <c r="P137" t="s">
        <v>327</v>
      </c>
      <c r="Q137" t="s">
        <v>218</v>
      </c>
      <c r="R137" t="s">
        <v>129</v>
      </c>
      <c r="S137" t="s">
        <v>17</v>
      </c>
      <c r="T137" s="4">
        <v>7080</v>
      </c>
    </row>
    <row r="138" spans="16:20" x14ac:dyDescent="0.3">
      <c r="P138" t="s">
        <v>328</v>
      </c>
      <c r="Q138" t="s">
        <v>41</v>
      </c>
      <c r="R138" t="s">
        <v>45</v>
      </c>
      <c r="S138" t="s">
        <v>42</v>
      </c>
      <c r="T138" s="4">
        <v>15456</v>
      </c>
    </row>
    <row r="139" spans="16:20" x14ac:dyDescent="0.3">
      <c r="P139" t="s">
        <v>329</v>
      </c>
      <c r="Q139" t="s">
        <v>116</v>
      </c>
      <c r="R139" t="s">
        <v>33</v>
      </c>
      <c r="S139" t="s">
        <v>17</v>
      </c>
      <c r="T139" s="4">
        <v>8652</v>
      </c>
    </row>
    <row r="140" spans="16:20" x14ac:dyDescent="0.3">
      <c r="P140" t="s">
        <v>331</v>
      </c>
      <c r="Q140" t="s">
        <v>90</v>
      </c>
      <c r="R140" t="s">
        <v>58</v>
      </c>
      <c r="S140" t="s">
        <v>42</v>
      </c>
      <c r="T140" s="4">
        <v>11757</v>
      </c>
    </row>
    <row r="141" spans="16:20" x14ac:dyDescent="0.3">
      <c r="P141" t="s">
        <v>333</v>
      </c>
      <c r="Q141" t="s">
        <v>41</v>
      </c>
      <c r="R141" t="s">
        <v>45</v>
      </c>
      <c r="S141" t="s">
        <v>42</v>
      </c>
      <c r="T141" s="4">
        <v>32886</v>
      </c>
    </row>
    <row r="142" spans="16:20" x14ac:dyDescent="0.3">
      <c r="P142" t="s">
        <v>335</v>
      </c>
      <c r="Q142" t="s">
        <v>116</v>
      </c>
      <c r="R142" t="s">
        <v>170</v>
      </c>
      <c r="S142" t="s">
        <v>17</v>
      </c>
      <c r="T142" s="4">
        <v>4214</v>
      </c>
    </row>
    <row r="143" spans="16:20" x14ac:dyDescent="0.3">
      <c r="P143" t="s">
        <v>337</v>
      </c>
      <c r="Q143" t="s">
        <v>51</v>
      </c>
      <c r="R143" t="s">
        <v>112</v>
      </c>
      <c r="S143" t="s">
        <v>52</v>
      </c>
      <c r="T143" s="4">
        <v>4040</v>
      </c>
    </row>
    <row r="144" spans="16:20" x14ac:dyDescent="0.3">
      <c r="P144" t="s">
        <v>338</v>
      </c>
      <c r="Q144" t="s">
        <v>46</v>
      </c>
      <c r="R144" t="s">
        <v>78</v>
      </c>
      <c r="S144" t="s">
        <v>42</v>
      </c>
      <c r="T144" s="4">
        <v>27996</v>
      </c>
    </row>
    <row r="145" spans="16:20" x14ac:dyDescent="0.3">
      <c r="P145" t="s">
        <v>339</v>
      </c>
      <c r="Q145" t="s">
        <v>34</v>
      </c>
      <c r="R145" t="s">
        <v>50</v>
      </c>
      <c r="S145" t="s">
        <v>35</v>
      </c>
      <c r="T145" s="4">
        <v>385744</v>
      </c>
    </row>
    <row r="146" spans="16:20" x14ac:dyDescent="0.3">
      <c r="P146" t="s">
        <v>340</v>
      </c>
      <c r="Q146" t="s">
        <v>218</v>
      </c>
      <c r="R146" t="s">
        <v>78</v>
      </c>
      <c r="S146" t="s">
        <v>17</v>
      </c>
      <c r="T146" s="4">
        <v>7230</v>
      </c>
    </row>
    <row r="147" spans="16:20" x14ac:dyDescent="0.3">
      <c r="P147" t="s">
        <v>341</v>
      </c>
      <c r="Q147" t="s">
        <v>86</v>
      </c>
      <c r="R147" t="s">
        <v>170</v>
      </c>
      <c r="S147" t="s">
        <v>17</v>
      </c>
      <c r="T147" s="4">
        <v>1671</v>
      </c>
    </row>
    <row r="148" spans="16:20" x14ac:dyDescent="0.3">
      <c r="P148" t="s">
        <v>343</v>
      </c>
      <c r="Q148" t="s">
        <v>147</v>
      </c>
      <c r="R148" t="s">
        <v>75</v>
      </c>
      <c r="S148" t="s">
        <v>52</v>
      </c>
      <c r="T148" s="4">
        <v>6594</v>
      </c>
    </row>
    <row r="149" spans="16:20" x14ac:dyDescent="0.3">
      <c r="P149" t="s">
        <v>345</v>
      </c>
      <c r="Q149" t="s">
        <v>51</v>
      </c>
      <c r="R149" t="s">
        <v>170</v>
      </c>
      <c r="S149" t="s">
        <v>52</v>
      </c>
      <c r="T149" s="4">
        <v>2279</v>
      </c>
    </row>
    <row r="150" spans="16:20" x14ac:dyDescent="0.3">
      <c r="P150" t="s">
        <v>347</v>
      </c>
      <c r="Q150" t="s">
        <v>51</v>
      </c>
      <c r="R150" t="s">
        <v>15</v>
      </c>
      <c r="S150" t="s">
        <v>52</v>
      </c>
      <c r="T150" s="4">
        <v>6416</v>
      </c>
    </row>
    <row r="151" spans="16:20" x14ac:dyDescent="0.3">
      <c r="P151" t="s">
        <v>349</v>
      </c>
      <c r="Q151" t="s">
        <v>79</v>
      </c>
      <c r="R151" t="s">
        <v>72</v>
      </c>
      <c r="S151" t="s">
        <v>26</v>
      </c>
      <c r="T151" s="4">
        <v>51569</v>
      </c>
    </row>
    <row r="152" spans="16:20" x14ac:dyDescent="0.3">
      <c r="P152" t="s">
        <v>351</v>
      </c>
      <c r="Q152" t="s">
        <v>218</v>
      </c>
      <c r="R152" t="s">
        <v>103</v>
      </c>
      <c r="S152" t="s">
        <v>17</v>
      </c>
      <c r="T152" s="4">
        <v>4856</v>
      </c>
    </row>
    <row r="153" spans="16:20" x14ac:dyDescent="0.3">
      <c r="P153" t="s">
        <v>353</v>
      </c>
      <c r="Q153" t="s">
        <v>16</v>
      </c>
      <c r="R153" t="s">
        <v>129</v>
      </c>
      <c r="S153" t="s">
        <v>17</v>
      </c>
      <c r="T153" s="4">
        <v>3135</v>
      </c>
    </row>
    <row r="154" spans="16:20" x14ac:dyDescent="0.3">
      <c r="P154" t="s">
        <v>355</v>
      </c>
      <c r="Q154" t="s">
        <v>51</v>
      </c>
      <c r="R154" t="s">
        <v>122</v>
      </c>
      <c r="S154" t="s">
        <v>52</v>
      </c>
      <c r="T154" s="4">
        <v>14240</v>
      </c>
    </row>
    <row r="155" spans="16:20" x14ac:dyDescent="0.3">
      <c r="P155" t="s">
        <v>357</v>
      </c>
      <c r="Q155" t="s">
        <v>59</v>
      </c>
      <c r="R155" t="s">
        <v>170</v>
      </c>
      <c r="S155" t="s">
        <v>26</v>
      </c>
      <c r="T155" s="4">
        <v>20366</v>
      </c>
    </row>
    <row r="156" spans="16:20" x14ac:dyDescent="0.3">
      <c r="P156" t="s">
        <v>358</v>
      </c>
      <c r="Q156" t="s">
        <v>51</v>
      </c>
      <c r="R156" t="s">
        <v>78</v>
      </c>
      <c r="S156" t="s">
        <v>52</v>
      </c>
      <c r="T156" s="4">
        <v>16856</v>
      </c>
    </row>
    <row r="157" spans="16:20" x14ac:dyDescent="0.3">
      <c r="P157" t="s">
        <v>360</v>
      </c>
      <c r="Q157" t="s">
        <v>46</v>
      </c>
      <c r="R157" t="s">
        <v>75</v>
      </c>
      <c r="S157" t="s">
        <v>42</v>
      </c>
      <c r="T157" s="4">
        <v>16680</v>
      </c>
    </row>
    <row r="158" spans="16:20" x14ac:dyDescent="0.3">
      <c r="P158" t="s">
        <v>362</v>
      </c>
      <c r="Q158" t="s">
        <v>159</v>
      </c>
      <c r="R158" t="s">
        <v>129</v>
      </c>
      <c r="S158" t="s">
        <v>42</v>
      </c>
      <c r="T158" s="4">
        <v>26544</v>
      </c>
    </row>
    <row r="159" spans="16:20" x14ac:dyDescent="0.3">
      <c r="P159" t="s">
        <v>364</v>
      </c>
      <c r="Q159" t="s">
        <v>79</v>
      </c>
      <c r="R159" t="s">
        <v>122</v>
      </c>
      <c r="S159" t="s">
        <v>26</v>
      </c>
      <c r="T159" s="4">
        <v>7748</v>
      </c>
    </row>
    <row r="160" spans="16:20" x14ac:dyDescent="0.3">
      <c r="P160" t="s">
        <v>366</v>
      </c>
      <c r="Q160" t="s">
        <v>34</v>
      </c>
      <c r="R160" t="s">
        <v>45</v>
      </c>
      <c r="S160" t="s">
        <v>35</v>
      </c>
      <c r="T160" s="4">
        <v>83099</v>
      </c>
    </row>
    <row r="161" spans="16:20" x14ac:dyDescent="0.3">
      <c r="P161" t="s">
        <v>368</v>
      </c>
      <c r="Q161" t="s">
        <v>147</v>
      </c>
      <c r="R161" t="s">
        <v>122</v>
      </c>
      <c r="S161" t="s">
        <v>52</v>
      </c>
      <c r="T161" s="4">
        <v>19680</v>
      </c>
    </row>
    <row r="162" spans="16:20" x14ac:dyDescent="0.3">
      <c r="P162" t="s">
        <v>370</v>
      </c>
      <c r="Q162" t="s">
        <v>109</v>
      </c>
      <c r="R162" t="s">
        <v>133</v>
      </c>
      <c r="S162" t="s">
        <v>52</v>
      </c>
      <c r="T162" s="4">
        <v>5920</v>
      </c>
    </row>
    <row r="163" spans="16:20" x14ac:dyDescent="0.3">
      <c r="P163" t="s">
        <v>372</v>
      </c>
      <c r="Q163" t="s">
        <v>97</v>
      </c>
      <c r="R163" t="s">
        <v>122</v>
      </c>
      <c r="S163" t="s">
        <v>35</v>
      </c>
      <c r="T163" s="4">
        <v>336066</v>
      </c>
    </row>
    <row r="164" spans="16:20" x14ac:dyDescent="0.3">
      <c r="P164" t="s">
        <v>374</v>
      </c>
      <c r="Q164" t="s">
        <v>41</v>
      </c>
      <c r="R164" t="s">
        <v>75</v>
      </c>
      <c r="S164" t="s">
        <v>42</v>
      </c>
      <c r="T164" s="4">
        <v>27167</v>
      </c>
    </row>
    <row r="165" spans="16:20" x14ac:dyDescent="0.3">
      <c r="P165" t="s">
        <v>375</v>
      </c>
      <c r="Q165" t="s">
        <v>79</v>
      </c>
      <c r="R165" t="s">
        <v>125</v>
      </c>
      <c r="S165" t="s">
        <v>26</v>
      </c>
      <c r="T165" s="4">
        <v>52130</v>
      </c>
    </row>
    <row r="166" spans="16:20" x14ac:dyDescent="0.3">
      <c r="P166" t="s">
        <v>377</v>
      </c>
      <c r="Q166" t="s">
        <v>86</v>
      </c>
      <c r="R166" t="s">
        <v>40</v>
      </c>
      <c r="S166" t="s">
        <v>17</v>
      </c>
      <c r="T166" s="4">
        <v>2560</v>
      </c>
    </row>
    <row r="167" spans="16:20" x14ac:dyDescent="0.3">
      <c r="P167" t="s">
        <v>378</v>
      </c>
      <c r="Q167" t="s">
        <v>130</v>
      </c>
      <c r="R167" t="s">
        <v>33</v>
      </c>
      <c r="S167" t="s">
        <v>35</v>
      </c>
      <c r="T167" s="4">
        <v>512296</v>
      </c>
    </row>
    <row r="168" spans="16:20" x14ac:dyDescent="0.3">
      <c r="P168" t="s">
        <v>380</v>
      </c>
      <c r="Q168" t="s">
        <v>218</v>
      </c>
      <c r="R168" t="s">
        <v>125</v>
      </c>
      <c r="S168" t="s">
        <v>17</v>
      </c>
      <c r="T168" s="4">
        <v>6328</v>
      </c>
    </row>
    <row r="169" spans="16:20" x14ac:dyDescent="0.3">
      <c r="P169" t="s">
        <v>382</v>
      </c>
      <c r="Q169" t="s">
        <v>90</v>
      </c>
      <c r="R169" t="s">
        <v>112</v>
      </c>
      <c r="S169" t="s">
        <v>42</v>
      </c>
      <c r="T169" s="4">
        <v>5538</v>
      </c>
    </row>
    <row r="170" spans="16:20" x14ac:dyDescent="0.3">
      <c r="P170" t="s">
        <v>384</v>
      </c>
      <c r="Q170" t="s">
        <v>116</v>
      </c>
      <c r="R170" t="s">
        <v>45</v>
      </c>
      <c r="S170" t="s">
        <v>17</v>
      </c>
      <c r="T170" s="4">
        <v>1756</v>
      </c>
    </row>
    <row r="171" spans="16:20" x14ac:dyDescent="0.3">
      <c r="P171" t="s">
        <v>386</v>
      </c>
      <c r="Q171" t="s">
        <v>16</v>
      </c>
      <c r="R171" t="s">
        <v>112</v>
      </c>
      <c r="S171" t="s">
        <v>17</v>
      </c>
      <c r="T171" s="4">
        <v>2268</v>
      </c>
    </row>
    <row r="172" spans="16:20" x14ac:dyDescent="0.3">
      <c r="P172" t="s">
        <v>388</v>
      </c>
      <c r="Q172" t="s">
        <v>16</v>
      </c>
      <c r="R172" t="s">
        <v>50</v>
      </c>
      <c r="S172" t="s">
        <v>17</v>
      </c>
      <c r="T172" s="4">
        <v>2379</v>
      </c>
    </row>
    <row r="173" spans="16:20" x14ac:dyDescent="0.3">
      <c r="P173" t="s">
        <v>389</v>
      </c>
      <c r="Q173" t="s">
        <v>159</v>
      </c>
      <c r="R173" t="s">
        <v>33</v>
      </c>
      <c r="S173" t="s">
        <v>42</v>
      </c>
      <c r="T173" s="4">
        <v>5860</v>
      </c>
    </row>
    <row r="174" spans="16:20" x14ac:dyDescent="0.3">
      <c r="P174" t="s">
        <v>390</v>
      </c>
      <c r="Q174" t="s">
        <v>116</v>
      </c>
      <c r="R174" t="s">
        <v>103</v>
      </c>
      <c r="S174" t="s">
        <v>17</v>
      </c>
      <c r="T174" s="4">
        <v>8748</v>
      </c>
    </row>
    <row r="175" spans="16:20" x14ac:dyDescent="0.3">
      <c r="P175" t="s">
        <v>392</v>
      </c>
      <c r="Q175" t="s">
        <v>25</v>
      </c>
      <c r="R175" t="s">
        <v>24</v>
      </c>
      <c r="S175" t="s">
        <v>26</v>
      </c>
      <c r="T175" s="4">
        <v>43950</v>
      </c>
    </row>
    <row r="176" spans="16:20" x14ac:dyDescent="0.3">
      <c r="P176" t="s">
        <v>394</v>
      </c>
      <c r="Q176" t="s">
        <v>59</v>
      </c>
      <c r="R176" t="s">
        <v>75</v>
      </c>
      <c r="S176" t="s">
        <v>26</v>
      </c>
      <c r="T176" s="4">
        <v>5037</v>
      </c>
    </row>
    <row r="177" spans="16:20" x14ac:dyDescent="0.3">
      <c r="P177" t="s">
        <v>395</v>
      </c>
      <c r="Q177" t="s">
        <v>218</v>
      </c>
      <c r="R177" t="s">
        <v>75</v>
      </c>
      <c r="S177" t="s">
        <v>17</v>
      </c>
      <c r="T177" s="4">
        <v>6136</v>
      </c>
    </row>
    <row r="178" spans="16:20" x14ac:dyDescent="0.3">
      <c r="P178" t="s">
        <v>397</v>
      </c>
      <c r="Q178" t="s">
        <v>16</v>
      </c>
      <c r="R178" t="s">
        <v>40</v>
      </c>
      <c r="S178" t="s">
        <v>17</v>
      </c>
      <c r="T178" s="4">
        <v>3234</v>
      </c>
    </row>
    <row r="179" spans="16:20" x14ac:dyDescent="0.3">
      <c r="P179" t="s">
        <v>399</v>
      </c>
      <c r="Q179" t="s">
        <v>86</v>
      </c>
      <c r="R179" t="s">
        <v>75</v>
      </c>
      <c r="S179" t="s">
        <v>17</v>
      </c>
      <c r="T179" s="4">
        <v>3546</v>
      </c>
    </row>
    <row r="180" spans="16:20" x14ac:dyDescent="0.3">
      <c r="P180" t="s">
        <v>401</v>
      </c>
      <c r="Q180" t="s">
        <v>41</v>
      </c>
      <c r="R180" t="s">
        <v>24</v>
      </c>
      <c r="S180" t="s">
        <v>42</v>
      </c>
      <c r="T180" s="4">
        <v>18816</v>
      </c>
    </row>
    <row r="181" spans="16:20" x14ac:dyDescent="0.3">
      <c r="P181" t="s">
        <v>403</v>
      </c>
      <c r="Q181" t="s">
        <v>97</v>
      </c>
      <c r="R181" t="s">
        <v>129</v>
      </c>
      <c r="S181" t="s">
        <v>35</v>
      </c>
      <c r="T181" s="4">
        <v>77340</v>
      </c>
    </row>
    <row r="182" spans="16:20" x14ac:dyDescent="0.3">
      <c r="P182" t="s">
        <v>405</v>
      </c>
      <c r="Q182" t="s">
        <v>79</v>
      </c>
      <c r="R182" t="s">
        <v>170</v>
      </c>
      <c r="S182" t="s">
        <v>26</v>
      </c>
      <c r="T182" s="4">
        <v>12486</v>
      </c>
    </row>
    <row r="183" spans="16:20" x14ac:dyDescent="0.3">
      <c r="P183" t="s">
        <v>407</v>
      </c>
      <c r="Q183" t="s">
        <v>79</v>
      </c>
      <c r="R183" t="s">
        <v>40</v>
      </c>
      <c r="S183" t="s">
        <v>26</v>
      </c>
      <c r="T183" s="4">
        <v>22260</v>
      </c>
    </row>
    <row r="184" spans="16:20" x14ac:dyDescent="0.3">
      <c r="P184" t="s">
        <v>409</v>
      </c>
      <c r="Q184" t="s">
        <v>97</v>
      </c>
      <c r="R184" t="s">
        <v>78</v>
      </c>
      <c r="S184" t="s">
        <v>35</v>
      </c>
      <c r="T184" s="4">
        <v>534835</v>
      </c>
    </row>
    <row r="185" spans="16:20" x14ac:dyDescent="0.3">
      <c r="P185" t="s">
        <v>410</v>
      </c>
      <c r="Q185" t="s">
        <v>46</v>
      </c>
      <c r="R185" t="s">
        <v>133</v>
      </c>
      <c r="S185" t="s">
        <v>42</v>
      </c>
      <c r="T185" s="4">
        <v>11776</v>
      </c>
    </row>
    <row r="186" spans="16:20" x14ac:dyDescent="0.3">
      <c r="P186" t="s">
        <v>412</v>
      </c>
      <c r="Q186" t="s">
        <v>69</v>
      </c>
      <c r="R186" t="s">
        <v>78</v>
      </c>
      <c r="S186" t="s">
        <v>26</v>
      </c>
      <c r="T186" s="4">
        <v>9814</v>
      </c>
    </row>
    <row r="187" spans="16:20" x14ac:dyDescent="0.3">
      <c r="P187" t="s">
        <v>414</v>
      </c>
      <c r="Q187" t="s">
        <v>109</v>
      </c>
      <c r="R187" t="s">
        <v>122</v>
      </c>
      <c r="S187" t="s">
        <v>52</v>
      </c>
      <c r="T187" s="4">
        <v>1886</v>
      </c>
    </row>
    <row r="188" spans="16:20" x14ac:dyDescent="0.3">
      <c r="P188" t="s">
        <v>416</v>
      </c>
      <c r="Q188" t="s">
        <v>97</v>
      </c>
      <c r="R188" t="s">
        <v>68</v>
      </c>
      <c r="S188" t="s">
        <v>35</v>
      </c>
      <c r="T188" s="4">
        <v>197331</v>
      </c>
    </row>
    <row r="189" spans="16:20" x14ac:dyDescent="0.3">
      <c r="P189" t="s">
        <v>417</v>
      </c>
      <c r="Q189" t="s">
        <v>130</v>
      </c>
      <c r="R189" t="s">
        <v>170</v>
      </c>
      <c r="S189" t="s">
        <v>35</v>
      </c>
      <c r="T189" s="4">
        <v>192608</v>
      </c>
    </row>
    <row r="190" spans="16:20" x14ac:dyDescent="0.3">
      <c r="P190" t="s">
        <v>419</v>
      </c>
      <c r="Q190" t="s">
        <v>16</v>
      </c>
      <c r="R190" t="s">
        <v>78</v>
      </c>
      <c r="S190" t="s">
        <v>17</v>
      </c>
      <c r="T190" s="4">
        <v>3372</v>
      </c>
    </row>
    <row r="191" spans="16:20" x14ac:dyDescent="0.3">
      <c r="P191" t="s">
        <v>421</v>
      </c>
      <c r="Q191" t="s">
        <v>159</v>
      </c>
      <c r="R191" t="s">
        <v>15</v>
      </c>
      <c r="S191" t="s">
        <v>42</v>
      </c>
      <c r="T191" s="4">
        <v>16212</v>
      </c>
    </row>
    <row r="192" spans="16:20" x14ac:dyDescent="0.3">
      <c r="P192" t="s">
        <v>423</v>
      </c>
      <c r="Q192" t="s">
        <v>113</v>
      </c>
      <c r="R192" t="s">
        <v>125</v>
      </c>
      <c r="S192" t="s">
        <v>35</v>
      </c>
      <c r="T192" s="4">
        <v>100890</v>
      </c>
    </row>
    <row r="193" spans="16:20" x14ac:dyDescent="0.3">
      <c r="P193" t="s">
        <v>425</v>
      </c>
      <c r="Q193" t="s">
        <v>69</v>
      </c>
      <c r="R193" t="s">
        <v>45</v>
      </c>
      <c r="S193" t="s">
        <v>26</v>
      </c>
      <c r="T193" s="4">
        <v>7252</v>
      </c>
    </row>
    <row r="194" spans="16:20" x14ac:dyDescent="0.3">
      <c r="P194" t="s">
        <v>426</v>
      </c>
      <c r="Q194" t="s">
        <v>113</v>
      </c>
      <c r="R194" t="s">
        <v>58</v>
      </c>
      <c r="S194" t="s">
        <v>35</v>
      </c>
      <c r="T194" s="4">
        <v>257145</v>
      </c>
    </row>
    <row r="195" spans="16:20" x14ac:dyDescent="0.3">
      <c r="P195" t="s">
        <v>428</v>
      </c>
      <c r="Q195" t="s">
        <v>159</v>
      </c>
      <c r="R195" t="s">
        <v>129</v>
      </c>
      <c r="S195" t="s">
        <v>42</v>
      </c>
      <c r="T195" s="4">
        <v>6696</v>
      </c>
    </row>
    <row r="196" spans="16:20" x14ac:dyDescent="0.3">
      <c r="P196" t="s">
        <v>430</v>
      </c>
      <c r="Q196" t="s">
        <v>51</v>
      </c>
      <c r="R196" t="s">
        <v>122</v>
      </c>
      <c r="S196" t="s">
        <v>52</v>
      </c>
      <c r="T196" s="4">
        <v>18112</v>
      </c>
    </row>
    <row r="197" spans="16:20" x14ac:dyDescent="0.3">
      <c r="P197" t="s">
        <v>431</v>
      </c>
      <c r="Q197" t="s">
        <v>109</v>
      </c>
      <c r="R197" t="s">
        <v>78</v>
      </c>
      <c r="S197" t="s">
        <v>52</v>
      </c>
      <c r="T197" s="4">
        <v>18224</v>
      </c>
    </row>
    <row r="198" spans="16:20" x14ac:dyDescent="0.3">
      <c r="P198" t="s">
        <v>433</v>
      </c>
      <c r="Q198" t="s">
        <v>79</v>
      </c>
      <c r="R198" t="s">
        <v>146</v>
      </c>
      <c r="S198" t="s">
        <v>26</v>
      </c>
      <c r="T198" s="4">
        <v>16336</v>
      </c>
    </row>
    <row r="199" spans="16:20" x14ac:dyDescent="0.3">
      <c r="P199" t="s">
        <v>435</v>
      </c>
      <c r="Q199" t="s">
        <v>59</v>
      </c>
      <c r="R199" t="s">
        <v>45</v>
      </c>
      <c r="S199" t="s">
        <v>26</v>
      </c>
      <c r="T199" s="4">
        <v>12404</v>
      </c>
    </row>
    <row r="200" spans="16:20" x14ac:dyDescent="0.3">
      <c r="P200" t="s">
        <v>437</v>
      </c>
      <c r="Q200" t="s">
        <v>130</v>
      </c>
      <c r="R200" t="s">
        <v>72</v>
      </c>
      <c r="S200" t="s">
        <v>35</v>
      </c>
      <c r="T200" s="4">
        <v>101355</v>
      </c>
    </row>
    <row r="201" spans="16:20" x14ac:dyDescent="0.3">
      <c r="P201" t="s">
        <v>438</v>
      </c>
      <c r="Q201" t="s">
        <v>51</v>
      </c>
      <c r="R201" t="s">
        <v>50</v>
      </c>
      <c r="S201" t="s">
        <v>52</v>
      </c>
      <c r="T201" s="4">
        <v>4050</v>
      </c>
    </row>
    <row r="202" spans="16:20" x14ac:dyDescent="0.3">
      <c r="P202" t="s">
        <v>439</v>
      </c>
      <c r="Q202" t="s">
        <v>90</v>
      </c>
      <c r="R202" t="s">
        <v>78</v>
      </c>
      <c r="S202" t="s">
        <v>42</v>
      </c>
      <c r="T202" s="4">
        <v>5900</v>
      </c>
    </row>
    <row r="203" spans="16:20" x14ac:dyDescent="0.3">
      <c r="P203" t="s">
        <v>441</v>
      </c>
      <c r="Q203" t="s">
        <v>51</v>
      </c>
      <c r="R203" t="s">
        <v>170</v>
      </c>
      <c r="S203" t="s">
        <v>52</v>
      </c>
      <c r="T203" s="4">
        <v>9798</v>
      </c>
    </row>
    <row r="204" spans="16:20" x14ac:dyDescent="0.3">
      <c r="P204" t="s">
        <v>442</v>
      </c>
      <c r="Q204" t="s">
        <v>116</v>
      </c>
      <c r="R204" t="s">
        <v>40</v>
      </c>
      <c r="S204" t="s">
        <v>17</v>
      </c>
      <c r="T204" s="4">
        <v>1246</v>
      </c>
    </row>
    <row r="205" spans="16:20" x14ac:dyDescent="0.3">
      <c r="P205" t="s">
        <v>443</v>
      </c>
      <c r="Q205" t="s">
        <v>130</v>
      </c>
      <c r="R205" t="s">
        <v>133</v>
      </c>
      <c r="S205" t="s">
        <v>35</v>
      </c>
      <c r="T205" s="4">
        <v>55722</v>
      </c>
    </row>
    <row r="206" spans="16:20" x14ac:dyDescent="0.3">
      <c r="P206" t="s">
        <v>445</v>
      </c>
      <c r="Q206" t="s">
        <v>86</v>
      </c>
      <c r="R206" t="s">
        <v>68</v>
      </c>
      <c r="S206" t="s">
        <v>17</v>
      </c>
      <c r="T206" s="4">
        <v>1142</v>
      </c>
    </row>
    <row r="207" spans="16:20" x14ac:dyDescent="0.3">
      <c r="P207" t="s">
        <v>447</v>
      </c>
      <c r="Q207" t="s">
        <v>86</v>
      </c>
      <c r="R207" t="s">
        <v>50</v>
      </c>
      <c r="S207" t="s">
        <v>17</v>
      </c>
      <c r="T207" s="4">
        <v>3592</v>
      </c>
    </row>
    <row r="208" spans="16:20" x14ac:dyDescent="0.3">
      <c r="P208" t="s">
        <v>448</v>
      </c>
      <c r="Q208" t="s">
        <v>25</v>
      </c>
      <c r="R208" t="s">
        <v>179</v>
      </c>
      <c r="S208" t="s">
        <v>26</v>
      </c>
      <c r="T208" s="4">
        <v>9840</v>
      </c>
    </row>
    <row r="209" spans="16:20" x14ac:dyDescent="0.3">
      <c r="P209" t="s">
        <v>449</v>
      </c>
      <c r="Q209" t="s">
        <v>116</v>
      </c>
      <c r="R209" t="s">
        <v>15</v>
      </c>
      <c r="S209" t="s">
        <v>17</v>
      </c>
      <c r="T209" s="4">
        <v>6608</v>
      </c>
    </row>
    <row r="210" spans="16:20" x14ac:dyDescent="0.3">
      <c r="P210" t="s">
        <v>451</v>
      </c>
      <c r="Q210" t="s">
        <v>79</v>
      </c>
      <c r="R210" t="s">
        <v>45</v>
      </c>
      <c r="S210" t="s">
        <v>26</v>
      </c>
      <c r="T210" s="4">
        <v>35610</v>
      </c>
    </row>
    <row r="211" spans="16:20" x14ac:dyDescent="0.3">
      <c r="P211" t="s">
        <v>453</v>
      </c>
      <c r="Q211" t="s">
        <v>34</v>
      </c>
      <c r="R211" t="s">
        <v>15</v>
      </c>
      <c r="S211" t="s">
        <v>35</v>
      </c>
      <c r="T211" s="4">
        <v>176015</v>
      </c>
    </row>
    <row r="212" spans="16:20" x14ac:dyDescent="0.3">
      <c r="P212" t="s">
        <v>455</v>
      </c>
      <c r="Q212" t="s">
        <v>116</v>
      </c>
      <c r="R212" t="s">
        <v>103</v>
      </c>
      <c r="S212" t="s">
        <v>17</v>
      </c>
      <c r="T212" s="4">
        <v>7935</v>
      </c>
    </row>
    <row r="213" spans="16:20" x14ac:dyDescent="0.3">
      <c r="P213" t="s">
        <v>457</v>
      </c>
      <c r="Q213" t="s">
        <v>79</v>
      </c>
      <c r="R213" t="s">
        <v>133</v>
      </c>
      <c r="S213" t="s">
        <v>26</v>
      </c>
      <c r="T213" s="4">
        <v>28254</v>
      </c>
    </row>
    <row r="214" spans="16:20" x14ac:dyDescent="0.3">
      <c r="P214" t="s">
        <v>459</v>
      </c>
      <c r="Q214" t="s">
        <v>34</v>
      </c>
      <c r="R214" t="s">
        <v>24</v>
      </c>
      <c r="S214" t="s">
        <v>35</v>
      </c>
      <c r="T214" s="4">
        <v>3987</v>
      </c>
    </row>
    <row r="215" spans="16:20" x14ac:dyDescent="0.3">
      <c r="P215" t="s">
        <v>461</v>
      </c>
      <c r="Q215" t="s">
        <v>16</v>
      </c>
      <c r="R215" t="s">
        <v>146</v>
      </c>
      <c r="S215" t="s">
        <v>17</v>
      </c>
      <c r="T215" s="4">
        <v>5999</v>
      </c>
    </row>
    <row r="216" spans="16:20" x14ac:dyDescent="0.3">
      <c r="P216" t="s">
        <v>463</v>
      </c>
      <c r="Q216" t="s">
        <v>159</v>
      </c>
      <c r="R216" t="s">
        <v>33</v>
      </c>
      <c r="S216" t="s">
        <v>42</v>
      </c>
      <c r="T216" s="4">
        <v>4932</v>
      </c>
    </row>
    <row r="217" spans="16:20" x14ac:dyDescent="0.3">
      <c r="P217" t="s">
        <v>464</v>
      </c>
      <c r="Q217" t="s">
        <v>46</v>
      </c>
      <c r="R217" t="s">
        <v>170</v>
      </c>
      <c r="S217" t="s">
        <v>42</v>
      </c>
      <c r="T217" s="4">
        <v>12405</v>
      </c>
    </row>
    <row r="218" spans="16:20" x14ac:dyDescent="0.3">
      <c r="P218" t="s">
        <v>465</v>
      </c>
      <c r="Q218" t="s">
        <v>16</v>
      </c>
      <c r="R218" t="s">
        <v>170</v>
      </c>
      <c r="S218" t="s">
        <v>17</v>
      </c>
      <c r="T218" s="4">
        <v>5424</v>
      </c>
    </row>
    <row r="219" spans="16:20" x14ac:dyDescent="0.3">
      <c r="P219" t="s">
        <v>466</v>
      </c>
      <c r="Q219" t="s">
        <v>34</v>
      </c>
      <c r="R219" t="s">
        <v>78</v>
      </c>
      <c r="S219" t="s">
        <v>35</v>
      </c>
      <c r="T219" s="4">
        <v>316535</v>
      </c>
    </row>
    <row r="220" spans="16:20" x14ac:dyDescent="0.3">
      <c r="P220" t="s">
        <v>467</v>
      </c>
      <c r="Q220" t="s">
        <v>41</v>
      </c>
      <c r="R220" t="s">
        <v>68</v>
      </c>
      <c r="S220" t="s">
        <v>42</v>
      </c>
      <c r="T220" s="4">
        <v>4266</v>
      </c>
    </row>
    <row r="221" spans="16:20" x14ac:dyDescent="0.3">
      <c r="P221" t="s">
        <v>469</v>
      </c>
      <c r="Q221" t="s">
        <v>41</v>
      </c>
      <c r="R221" t="s">
        <v>146</v>
      </c>
      <c r="S221" t="s">
        <v>42</v>
      </c>
      <c r="T221" s="4">
        <v>24785</v>
      </c>
    </row>
    <row r="222" spans="16:20" x14ac:dyDescent="0.3">
      <c r="P222" t="s">
        <v>471</v>
      </c>
      <c r="Q222" t="s">
        <v>79</v>
      </c>
      <c r="R222" t="s">
        <v>50</v>
      </c>
      <c r="S222" t="s">
        <v>26</v>
      </c>
      <c r="T222" s="4">
        <v>32753</v>
      </c>
    </row>
    <row r="223" spans="16:20" x14ac:dyDescent="0.3">
      <c r="P223" t="s">
        <v>473</v>
      </c>
      <c r="Q223" t="s">
        <v>46</v>
      </c>
      <c r="R223" t="s">
        <v>146</v>
      </c>
      <c r="S223" t="s">
        <v>42</v>
      </c>
      <c r="T223" s="4">
        <v>3184</v>
      </c>
    </row>
    <row r="224" spans="16:20" x14ac:dyDescent="0.3">
      <c r="P224" t="s">
        <v>474</v>
      </c>
      <c r="Q224" t="s">
        <v>59</v>
      </c>
      <c r="R224" t="s">
        <v>45</v>
      </c>
      <c r="S224" t="s">
        <v>26</v>
      </c>
      <c r="T224" s="4">
        <v>18248</v>
      </c>
    </row>
    <row r="225" spans="16:20" x14ac:dyDescent="0.3">
      <c r="P225" t="s">
        <v>476</v>
      </c>
      <c r="Q225" t="s">
        <v>147</v>
      </c>
      <c r="R225" t="s">
        <v>15</v>
      </c>
      <c r="S225" t="s">
        <v>52</v>
      </c>
      <c r="T225" s="4">
        <v>7492</v>
      </c>
    </row>
    <row r="226" spans="16:20" x14ac:dyDescent="0.3">
      <c r="P226" t="s">
        <v>478</v>
      </c>
      <c r="Q226" t="s">
        <v>116</v>
      </c>
      <c r="R226" t="s">
        <v>129</v>
      </c>
      <c r="S226" t="s">
        <v>17</v>
      </c>
      <c r="T226" s="4">
        <v>1644</v>
      </c>
    </row>
    <row r="227" spans="16:20" x14ac:dyDescent="0.3">
      <c r="P227" t="s">
        <v>479</v>
      </c>
      <c r="Q227" t="s">
        <v>16</v>
      </c>
      <c r="R227" t="s">
        <v>33</v>
      </c>
      <c r="S227" t="s">
        <v>17</v>
      </c>
      <c r="T227" s="4">
        <v>6488</v>
      </c>
    </row>
    <row r="228" spans="16:20" x14ac:dyDescent="0.3">
      <c r="P228" t="s">
        <v>481</v>
      </c>
      <c r="Q228" t="s">
        <v>41</v>
      </c>
      <c r="R228" t="s">
        <v>33</v>
      </c>
      <c r="S228" t="s">
        <v>42</v>
      </c>
      <c r="T228" s="4">
        <v>15631</v>
      </c>
    </row>
    <row r="229" spans="16:20" x14ac:dyDescent="0.3">
      <c r="P229" t="s">
        <v>483</v>
      </c>
      <c r="Q229" t="s">
        <v>90</v>
      </c>
      <c r="R229" t="s">
        <v>78</v>
      </c>
      <c r="S229" t="s">
        <v>42</v>
      </c>
      <c r="T229" s="4">
        <v>30696</v>
      </c>
    </row>
    <row r="230" spans="16:20" x14ac:dyDescent="0.3">
      <c r="P230" t="s">
        <v>484</v>
      </c>
      <c r="Q230" t="s">
        <v>90</v>
      </c>
      <c r="R230" t="s">
        <v>103</v>
      </c>
      <c r="S230" t="s">
        <v>42</v>
      </c>
      <c r="T230" s="4">
        <v>5478</v>
      </c>
    </row>
    <row r="231" spans="16:20" x14ac:dyDescent="0.3">
      <c r="P231" t="s">
        <v>486</v>
      </c>
      <c r="Q231" t="s">
        <v>79</v>
      </c>
      <c r="R231" t="s">
        <v>58</v>
      </c>
      <c r="S231" t="s">
        <v>26</v>
      </c>
      <c r="T231" s="4">
        <v>3432</v>
      </c>
    </row>
    <row r="232" spans="16:20" x14ac:dyDescent="0.3">
      <c r="P232" t="s">
        <v>488</v>
      </c>
      <c r="Q232" t="s">
        <v>63</v>
      </c>
      <c r="R232" t="s">
        <v>58</v>
      </c>
      <c r="S232" t="s">
        <v>52</v>
      </c>
      <c r="T232" s="4">
        <v>10314</v>
      </c>
    </row>
    <row r="233" spans="16:20" x14ac:dyDescent="0.3">
      <c r="P233" t="s">
        <v>490</v>
      </c>
      <c r="Q233" t="s">
        <v>51</v>
      </c>
      <c r="R233" t="s">
        <v>170</v>
      </c>
      <c r="S233" t="s">
        <v>52</v>
      </c>
      <c r="T233" s="4">
        <v>2404</v>
      </c>
    </row>
    <row r="234" spans="16:20" x14ac:dyDescent="0.3">
      <c r="P234" t="s">
        <v>492</v>
      </c>
      <c r="Q234" t="s">
        <v>34</v>
      </c>
      <c r="R234" t="s">
        <v>75</v>
      </c>
      <c r="S234" t="s">
        <v>35</v>
      </c>
      <c r="T234" s="4">
        <v>79388</v>
      </c>
    </row>
    <row r="235" spans="16:20" x14ac:dyDescent="0.3">
      <c r="P235" t="s">
        <v>494</v>
      </c>
      <c r="Q235" t="s">
        <v>130</v>
      </c>
      <c r="R235" t="s">
        <v>122</v>
      </c>
      <c r="S235" t="s">
        <v>35</v>
      </c>
      <c r="T235" s="4">
        <v>199074</v>
      </c>
    </row>
    <row r="236" spans="16:20" x14ac:dyDescent="0.3">
      <c r="P236" t="s">
        <v>495</v>
      </c>
      <c r="Q236" t="s">
        <v>130</v>
      </c>
      <c r="R236" t="s">
        <v>45</v>
      </c>
      <c r="S236" t="s">
        <v>35</v>
      </c>
      <c r="T236" s="4">
        <v>232746</v>
      </c>
    </row>
    <row r="237" spans="16:20" x14ac:dyDescent="0.3">
      <c r="P237" t="s">
        <v>496</v>
      </c>
      <c r="Q237" t="s">
        <v>109</v>
      </c>
      <c r="R237" t="s">
        <v>146</v>
      </c>
      <c r="S237" t="s">
        <v>52</v>
      </c>
      <c r="T237" s="4">
        <v>6232</v>
      </c>
    </row>
    <row r="238" spans="16:20" x14ac:dyDescent="0.3">
      <c r="P238" t="s">
        <v>497</v>
      </c>
      <c r="Q238" t="s">
        <v>147</v>
      </c>
      <c r="R238" t="s">
        <v>133</v>
      </c>
      <c r="S238" t="s">
        <v>52</v>
      </c>
      <c r="T238" s="4">
        <v>1275</v>
      </c>
    </row>
    <row r="239" spans="16:20" x14ac:dyDescent="0.3">
      <c r="P239" t="s">
        <v>498</v>
      </c>
      <c r="Q239" t="s">
        <v>69</v>
      </c>
      <c r="R239" t="s">
        <v>40</v>
      </c>
      <c r="S239" t="s">
        <v>26</v>
      </c>
      <c r="T239" s="4">
        <v>16056</v>
      </c>
    </row>
    <row r="240" spans="16:20" x14ac:dyDescent="0.3">
      <c r="P240" t="s">
        <v>499</v>
      </c>
      <c r="Q240" t="s">
        <v>16</v>
      </c>
      <c r="R240" t="s">
        <v>15</v>
      </c>
      <c r="S240" t="s">
        <v>17</v>
      </c>
      <c r="T240" s="4">
        <v>3204</v>
      </c>
    </row>
    <row r="241" spans="16:20" x14ac:dyDescent="0.3">
      <c r="P241" t="s">
        <v>500</v>
      </c>
      <c r="Q241" t="s">
        <v>147</v>
      </c>
      <c r="R241" t="s">
        <v>40</v>
      </c>
      <c r="S241" t="s">
        <v>52</v>
      </c>
      <c r="T241" s="4">
        <v>6168</v>
      </c>
    </row>
    <row r="242" spans="16:20" x14ac:dyDescent="0.3">
      <c r="P242" t="s">
        <v>501</v>
      </c>
      <c r="Q242" t="s">
        <v>90</v>
      </c>
      <c r="R242" t="s">
        <v>179</v>
      </c>
      <c r="S242" t="s">
        <v>42</v>
      </c>
      <c r="T242" s="4">
        <v>1417</v>
      </c>
    </row>
    <row r="243" spans="16:20" x14ac:dyDescent="0.3">
      <c r="P243" t="s">
        <v>502</v>
      </c>
      <c r="Q243" t="s">
        <v>109</v>
      </c>
      <c r="R243" t="s">
        <v>75</v>
      </c>
      <c r="S243" t="s">
        <v>52</v>
      </c>
      <c r="T243" s="4">
        <v>12104</v>
      </c>
    </row>
    <row r="244" spans="16:20" x14ac:dyDescent="0.3">
      <c r="P244" t="s">
        <v>504</v>
      </c>
      <c r="Q244" t="s">
        <v>97</v>
      </c>
      <c r="R244" t="s">
        <v>58</v>
      </c>
      <c r="S244" t="s">
        <v>35</v>
      </c>
      <c r="T244" s="4">
        <v>111030</v>
      </c>
    </row>
    <row r="245" spans="16:20" x14ac:dyDescent="0.3">
      <c r="P245" t="s">
        <v>506</v>
      </c>
      <c r="Q245" t="s">
        <v>218</v>
      </c>
      <c r="R245" t="s">
        <v>78</v>
      </c>
      <c r="S245" t="s">
        <v>17</v>
      </c>
      <c r="T245" s="4">
        <v>10549</v>
      </c>
    </row>
    <row r="246" spans="16:20" x14ac:dyDescent="0.3">
      <c r="P246" t="s">
        <v>508</v>
      </c>
      <c r="Q246" t="s">
        <v>46</v>
      </c>
      <c r="R246" t="s">
        <v>68</v>
      </c>
      <c r="S246" t="s">
        <v>42</v>
      </c>
      <c r="T246" s="4">
        <v>37653</v>
      </c>
    </row>
    <row r="247" spans="16:20" x14ac:dyDescent="0.3">
      <c r="P247" t="s">
        <v>509</v>
      </c>
      <c r="Q247" t="s">
        <v>63</v>
      </c>
      <c r="R247" t="s">
        <v>170</v>
      </c>
      <c r="S247" t="s">
        <v>52</v>
      </c>
      <c r="T247" s="4">
        <v>570</v>
      </c>
    </row>
    <row r="248" spans="16:20" x14ac:dyDescent="0.3">
      <c r="P248" t="s">
        <v>511</v>
      </c>
      <c r="Q248" t="s">
        <v>90</v>
      </c>
      <c r="R248" t="s">
        <v>68</v>
      </c>
      <c r="S248" t="s">
        <v>42</v>
      </c>
      <c r="T248" s="4">
        <v>4806</v>
      </c>
    </row>
    <row r="249" spans="16:20" x14ac:dyDescent="0.3">
      <c r="P249" t="s">
        <v>512</v>
      </c>
      <c r="Q249" t="s">
        <v>25</v>
      </c>
      <c r="R249" t="s">
        <v>58</v>
      </c>
      <c r="S249" t="s">
        <v>26</v>
      </c>
      <c r="T249" s="4">
        <v>10254</v>
      </c>
    </row>
    <row r="250" spans="16:20" x14ac:dyDescent="0.3">
      <c r="P250" t="s">
        <v>513</v>
      </c>
      <c r="Q250" t="s">
        <v>109</v>
      </c>
      <c r="R250" t="s">
        <v>125</v>
      </c>
      <c r="S250" t="s">
        <v>52</v>
      </c>
      <c r="T250" s="4">
        <v>5685</v>
      </c>
    </row>
    <row r="251" spans="16:20" x14ac:dyDescent="0.3">
      <c r="P251" t="s">
        <v>515</v>
      </c>
      <c r="Q251" t="s">
        <v>130</v>
      </c>
      <c r="R251" t="s">
        <v>170</v>
      </c>
      <c r="S251" t="s">
        <v>35</v>
      </c>
      <c r="T251" s="4">
        <v>161890</v>
      </c>
    </row>
    <row r="252" spans="16:20" x14ac:dyDescent="0.3">
      <c r="P252" t="s">
        <v>517</v>
      </c>
      <c r="Q252" t="s">
        <v>51</v>
      </c>
      <c r="R252" t="s">
        <v>40</v>
      </c>
      <c r="S252" t="s">
        <v>52</v>
      </c>
      <c r="T252" s="4">
        <v>16555</v>
      </c>
    </row>
    <row r="253" spans="16:20" x14ac:dyDescent="0.3">
      <c r="P253" t="s">
        <v>518</v>
      </c>
      <c r="Q253" t="s">
        <v>25</v>
      </c>
      <c r="R253" t="s">
        <v>179</v>
      </c>
      <c r="S253" t="s">
        <v>26</v>
      </c>
      <c r="T253" s="4">
        <v>33112</v>
      </c>
    </row>
    <row r="254" spans="16:20" x14ac:dyDescent="0.3">
      <c r="P254" t="s">
        <v>520</v>
      </c>
      <c r="Q254" t="s">
        <v>69</v>
      </c>
      <c r="R254" t="s">
        <v>125</v>
      </c>
      <c r="S254" t="s">
        <v>26</v>
      </c>
      <c r="T254" s="4">
        <v>17616</v>
      </c>
    </row>
    <row r="255" spans="16:20" x14ac:dyDescent="0.3">
      <c r="P255" t="s">
        <v>522</v>
      </c>
      <c r="Q255" t="s">
        <v>109</v>
      </c>
      <c r="R255" t="s">
        <v>122</v>
      </c>
      <c r="S255" t="s">
        <v>52</v>
      </c>
      <c r="T255" s="4">
        <v>724</v>
      </c>
    </row>
    <row r="256" spans="16:20" x14ac:dyDescent="0.3">
      <c r="P256" t="s">
        <v>524</v>
      </c>
      <c r="Q256" t="s">
        <v>97</v>
      </c>
      <c r="R256" t="s">
        <v>122</v>
      </c>
      <c r="S256" t="s">
        <v>35</v>
      </c>
      <c r="T256" s="4">
        <v>64640</v>
      </c>
    </row>
    <row r="257" spans="16:20" x14ac:dyDescent="0.3">
      <c r="P257" t="s">
        <v>526</v>
      </c>
      <c r="Q257" t="s">
        <v>90</v>
      </c>
      <c r="R257" t="s">
        <v>58</v>
      </c>
      <c r="S257" t="s">
        <v>42</v>
      </c>
      <c r="T257" s="4">
        <v>25400</v>
      </c>
    </row>
    <row r="258" spans="16:20" x14ac:dyDescent="0.3">
      <c r="P258" t="s">
        <v>528</v>
      </c>
      <c r="Q258" t="s">
        <v>59</v>
      </c>
      <c r="R258" t="s">
        <v>103</v>
      </c>
      <c r="S258" t="s">
        <v>26</v>
      </c>
      <c r="T258" s="4">
        <v>22590</v>
      </c>
    </row>
    <row r="259" spans="16:20" x14ac:dyDescent="0.3">
      <c r="P259" t="s">
        <v>529</v>
      </c>
      <c r="Q259" t="s">
        <v>63</v>
      </c>
      <c r="R259" t="s">
        <v>103</v>
      </c>
      <c r="S259" t="s">
        <v>52</v>
      </c>
      <c r="T259" s="4">
        <v>10913</v>
      </c>
    </row>
    <row r="260" spans="16:20" x14ac:dyDescent="0.3">
      <c r="P260" t="s">
        <v>531</v>
      </c>
      <c r="Q260" t="s">
        <v>86</v>
      </c>
      <c r="R260" t="s">
        <v>78</v>
      </c>
      <c r="S260" t="s">
        <v>17</v>
      </c>
      <c r="T260" s="4">
        <v>6820</v>
      </c>
    </row>
    <row r="261" spans="16:20" x14ac:dyDescent="0.3">
      <c r="P261" t="s">
        <v>532</v>
      </c>
      <c r="Q261" t="s">
        <v>159</v>
      </c>
      <c r="R261" t="s">
        <v>133</v>
      </c>
      <c r="S261" t="s">
        <v>42</v>
      </c>
      <c r="T261" s="4">
        <v>7560</v>
      </c>
    </row>
    <row r="262" spans="16:20" x14ac:dyDescent="0.3">
      <c r="P262" t="s">
        <v>534</v>
      </c>
      <c r="Q262" t="s">
        <v>59</v>
      </c>
      <c r="R262" t="s">
        <v>112</v>
      </c>
      <c r="S262" t="s">
        <v>26</v>
      </c>
      <c r="T262" s="4">
        <v>21936</v>
      </c>
    </row>
    <row r="263" spans="16:20" x14ac:dyDescent="0.3">
      <c r="P263" t="s">
        <v>535</v>
      </c>
      <c r="Q263" t="s">
        <v>41</v>
      </c>
      <c r="R263" t="s">
        <v>75</v>
      </c>
      <c r="S263" t="s">
        <v>42</v>
      </c>
      <c r="T263" s="4">
        <v>16092</v>
      </c>
    </row>
    <row r="264" spans="16:20" x14ac:dyDescent="0.3">
      <c r="P264" t="s">
        <v>537</v>
      </c>
      <c r="Q264" t="s">
        <v>113</v>
      </c>
      <c r="R264" t="s">
        <v>72</v>
      </c>
      <c r="S264" t="s">
        <v>35</v>
      </c>
      <c r="T264" s="4">
        <v>196792</v>
      </c>
    </row>
    <row r="265" spans="16:20" x14ac:dyDescent="0.3">
      <c r="P265" t="s">
        <v>539</v>
      </c>
      <c r="Q265" t="s">
        <v>90</v>
      </c>
      <c r="R265" t="s">
        <v>112</v>
      </c>
      <c r="S265" t="s">
        <v>42</v>
      </c>
      <c r="T265" s="4">
        <v>16331</v>
      </c>
    </row>
    <row r="266" spans="16:20" x14ac:dyDescent="0.3">
      <c r="P266" t="s">
        <v>540</v>
      </c>
      <c r="Q266" t="s">
        <v>63</v>
      </c>
      <c r="R266" t="s">
        <v>75</v>
      </c>
      <c r="S266" t="s">
        <v>52</v>
      </c>
      <c r="T266" s="4">
        <v>4668</v>
      </c>
    </row>
    <row r="267" spans="16:20" x14ac:dyDescent="0.3">
      <c r="P267" t="s">
        <v>541</v>
      </c>
      <c r="Q267" t="s">
        <v>46</v>
      </c>
      <c r="R267" t="s">
        <v>15</v>
      </c>
      <c r="S267" t="s">
        <v>42</v>
      </c>
      <c r="T267" s="4">
        <v>6729</v>
      </c>
    </row>
    <row r="268" spans="16:20" x14ac:dyDescent="0.3">
      <c r="P268" t="s">
        <v>542</v>
      </c>
      <c r="Q268" t="s">
        <v>147</v>
      </c>
      <c r="R268" t="s">
        <v>45</v>
      </c>
      <c r="S268" t="s">
        <v>52</v>
      </c>
      <c r="T268" s="4">
        <v>5253</v>
      </c>
    </row>
    <row r="269" spans="16:20" x14ac:dyDescent="0.3">
      <c r="P269" t="s">
        <v>544</v>
      </c>
      <c r="Q269" t="s">
        <v>16</v>
      </c>
      <c r="R269" t="s">
        <v>15</v>
      </c>
      <c r="S269" t="s">
        <v>17</v>
      </c>
      <c r="T269" s="4">
        <v>8624</v>
      </c>
    </row>
    <row r="270" spans="16:20" x14ac:dyDescent="0.3">
      <c r="P270" t="s">
        <v>546</v>
      </c>
      <c r="Q270" t="s">
        <v>59</v>
      </c>
      <c r="R270" t="s">
        <v>125</v>
      </c>
      <c r="S270" t="s">
        <v>26</v>
      </c>
      <c r="T270" s="4">
        <v>8184</v>
      </c>
    </row>
    <row r="271" spans="16:20" x14ac:dyDescent="0.3">
      <c r="P271" t="s">
        <v>548</v>
      </c>
      <c r="Q271" t="s">
        <v>79</v>
      </c>
      <c r="R271" t="s">
        <v>170</v>
      </c>
      <c r="S271" t="s">
        <v>26</v>
      </c>
      <c r="T271" s="4">
        <v>62524</v>
      </c>
    </row>
    <row r="272" spans="16:20" x14ac:dyDescent="0.3">
      <c r="P272" t="s">
        <v>550</v>
      </c>
      <c r="Q272" t="s">
        <v>16</v>
      </c>
      <c r="R272" t="s">
        <v>146</v>
      </c>
      <c r="S272" t="s">
        <v>17</v>
      </c>
      <c r="T272" s="4">
        <v>4840</v>
      </c>
    </row>
    <row r="273" spans="16:20" x14ac:dyDescent="0.3">
      <c r="P273" t="s">
        <v>551</v>
      </c>
      <c r="Q273" t="s">
        <v>16</v>
      </c>
      <c r="R273" t="s">
        <v>15</v>
      </c>
      <c r="S273" t="s">
        <v>17</v>
      </c>
      <c r="T273" s="4">
        <v>895</v>
      </c>
    </row>
    <row r="274" spans="16:20" x14ac:dyDescent="0.3">
      <c r="P274" t="s">
        <v>552</v>
      </c>
      <c r="Q274" t="s">
        <v>97</v>
      </c>
      <c r="R274" t="s">
        <v>103</v>
      </c>
      <c r="S274" t="s">
        <v>35</v>
      </c>
      <c r="T274" s="4">
        <v>237105</v>
      </c>
    </row>
    <row r="275" spans="16:20" x14ac:dyDescent="0.3">
      <c r="P275" t="s">
        <v>553</v>
      </c>
      <c r="Q275" t="s">
        <v>147</v>
      </c>
      <c r="R275" t="s">
        <v>24</v>
      </c>
      <c r="S275" t="s">
        <v>52</v>
      </c>
      <c r="T275" s="4">
        <v>674</v>
      </c>
    </row>
    <row r="276" spans="16:20" x14ac:dyDescent="0.3">
      <c r="P276" t="s">
        <v>554</v>
      </c>
      <c r="Q276" t="s">
        <v>25</v>
      </c>
      <c r="R276" t="s">
        <v>170</v>
      </c>
      <c r="S276" t="s">
        <v>26</v>
      </c>
      <c r="T276" s="4">
        <v>24060</v>
      </c>
    </row>
    <row r="277" spans="16:20" x14ac:dyDescent="0.3">
      <c r="P277" t="s">
        <v>556</v>
      </c>
      <c r="Q277" t="s">
        <v>25</v>
      </c>
      <c r="R277" t="s">
        <v>15</v>
      </c>
      <c r="S277" t="s">
        <v>26</v>
      </c>
      <c r="T277" s="4">
        <v>39788</v>
      </c>
    </row>
    <row r="278" spans="16:20" x14ac:dyDescent="0.3">
      <c r="P278" t="s">
        <v>558</v>
      </c>
      <c r="Q278" t="s">
        <v>159</v>
      </c>
      <c r="R278" t="s">
        <v>50</v>
      </c>
      <c r="S278" t="s">
        <v>42</v>
      </c>
      <c r="T278" s="4">
        <v>23824</v>
      </c>
    </row>
    <row r="279" spans="16:20" x14ac:dyDescent="0.3">
      <c r="P279" t="s">
        <v>560</v>
      </c>
      <c r="Q279" t="s">
        <v>90</v>
      </c>
      <c r="R279" t="s">
        <v>133</v>
      </c>
      <c r="S279" t="s">
        <v>42</v>
      </c>
      <c r="T279" s="4">
        <v>38192</v>
      </c>
    </row>
    <row r="280" spans="16:20" x14ac:dyDescent="0.3">
      <c r="P280" t="s">
        <v>562</v>
      </c>
      <c r="Q280" t="s">
        <v>59</v>
      </c>
      <c r="R280" t="s">
        <v>170</v>
      </c>
      <c r="S280" t="s">
        <v>26</v>
      </c>
      <c r="T280" s="4">
        <v>6756</v>
      </c>
    </row>
    <row r="281" spans="16:20" x14ac:dyDescent="0.3">
      <c r="P281" t="s">
        <v>563</v>
      </c>
      <c r="Q281" t="s">
        <v>41</v>
      </c>
      <c r="R281" t="s">
        <v>68</v>
      </c>
      <c r="S281" t="s">
        <v>42</v>
      </c>
      <c r="T281" s="4">
        <v>23560</v>
      </c>
    </row>
    <row r="282" spans="16:20" x14ac:dyDescent="0.3">
      <c r="P282" t="s">
        <v>565</v>
      </c>
      <c r="Q282" t="s">
        <v>51</v>
      </c>
      <c r="R282" t="s">
        <v>170</v>
      </c>
      <c r="S282" t="s">
        <v>52</v>
      </c>
      <c r="T282" s="4">
        <v>5260</v>
      </c>
    </row>
    <row r="283" spans="16:20" x14ac:dyDescent="0.3">
      <c r="P283" t="s">
        <v>566</v>
      </c>
      <c r="Q283" t="s">
        <v>25</v>
      </c>
      <c r="R283" t="s">
        <v>78</v>
      </c>
      <c r="S283" t="s">
        <v>26</v>
      </c>
      <c r="T283" s="4">
        <v>6968</v>
      </c>
    </row>
    <row r="284" spans="16:20" x14ac:dyDescent="0.3">
      <c r="P284" t="s">
        <v>567</v>
      </c>
      <c r="Q284" t="s">
        <v>79</v>
      </c>
      <c r="R284" t="s">
        <v>103</v>
      </c>
      <c r="S284" t="s">
        <v>26</v>
      </c>
      <c r="T284" s="4">
        <v>15318</v>
      </c>
    </row>
    <row r="285" spans="16:20" x14ac:dyDescent="0.3">
      <c r="P285" t="s">
        <v>568</v>
      </c>
      <c r="Q285" t="s">
        <v>159</v>
      </c>
      <c r="R285" t="s">
        <v>179</v>
      </c>
      <c r="S285" t="s">
        <v>42</v>
      </c>
      <c r="T285" s="4">
        <v>36309</v>
      </c>
    </row>
    <row r="286" spans="16:20" x14ac:dyDescent="0.3">
      <c r="P286" t="s">
        <v>569</v>
      </c>
      <c r="Q286" t="s">
        <v>63</v>
      </c>
      <c r="R286" t="s">
        <v>78</v>
      </c>
      <c r="S286" t="s">
        <v>52</v>
      </c>
      <c r="T286" s="4">
        <v>4332</v>
      </c>
    </row>
    <row r="287" spans="16:20" x14ac:dyDescent="0.3">
      <c r="P287" t="s">
        <v>571</v>
      </c>
      <c r="Q287" t="s">
        <v>25</v>
      </c>
      <c r="R287" t="s">
        <v>40</v>
      </c>
      <c r="S287" t="s">
        <v>26</v>
      </c>
      <c r="T287" s="4">
        <v>36218</v>
      </c>
    </row>
    <row r="288" spans="16:20" x14ac:dyDescent="0.3">
      <c r="P288" t="s">
        <v>572</v>
      </c>
      <c r="Q288" t="s">
        <v>218</v>
      </c>
      <c r="R288" t="s">
        <v>78</v>
      </c>
      <c r="S288" t="s">
        <v>17</v>
      </c>
      <c r="T288" s="4">
        <v>1034</v>
      </c>
    </row>
    <row r="289" spans="16:20" x14ac:dyDescent="0.3">
      <c r="P289" t="s">
        <v>574</v>
      </c>
      <c r="Q289" t="s">
        <v>116</v>
      </c>
      <c r="R289" t="s">
        <v>45</v>
      </c>
      <c r="S289" t="s">
        <v>17</v>
      </c>
      <c r="T289" s="4">
        <v>11921</v>
      </c>
    </row>
    <row r="290" spans="16:20" x14ac:dyDescent="0.3">
      <c r="P290" t="s">
        <v>575</v>
      </c>
      <c r="Q290" t="s">
        <v>79</v>
      </c>
      <c r="R290" t="s">
        <v>50</v>
      </c>
      <c r="S290" t="s">
        <v>26</v>
      </c>
      <c r="T290" s="4">
        <v>18235</v>
      </c>
    </row>
    <row r="291" spans="16:20" x14ac:dyDescent="0.3">
      <c r="P291" t="s">
        <v>577</v>
      </c>
      <c r="Q291" t="s">
        <v>59</v>
      </c>
      <c r="R291" t="s">
        <v>33</v>
      </c>
      <c r="S291" t="s">
        <v>26</v>
      </c>
      <c r="T291" s="4">
        <v>25320</v>
      </c>
    </row>
    <row r="292" spans="16:20" x14ac:dyDescent="0.3">
      <c r="P292" t="s">
        <v>578</v>
      </c>
      <c r="Q292" t="s">
        <v>59</v>
      </c>
      <c r="R292" t="s">
        <v>133</v>
      </c>
      <c r="S292" t="s">
        <v>26</v>
      </c>
      <c r="T292" s="4">
        <v>22872</v>
      </c>
    </row>
    <row r="293" spans="16:20" x14ac:dyDescent="0.3">
      <c r="P293" t="s">
        <v>580</v>
      </c>
      <c r="Q293" t="s">
        <v>34</v>
      </c>
      <c r="R293" t="s">
        <v>68</v>
      </c>
      <c r="S293" t="s">
        <v>35</v>
      </c>
      <c r="T293" s="4">
        <v>245874</v>
      </c>
    </row>
    <row r="294" spans="16:20" x14ac:dyDescent="0.3">
      <c r="P294" t="s">
        <v>582</v>
      </c>
      <c r="Q294" t="s">
        <v>63</v>
      </c>
      <c r="R294" t="s">
        <v>112</v>
      </c>
      <c r="S294" t="s">
        <v>52</v>
      </c>
      <c r="T294" s="4">
        <v>4284</v>
      </c>
    </row>
    <row r="295" spans="16:20" x14ac:dyDescent="0.3">
      <c r="P295" t="s">
        <v>584</v>
      </c>
      <c r="Q295" t="s">
        <v>218</v>
      </c>
      <c r="R295" t="s">
        <v>75</v>
      </c>
      <c r="S295" t="s">
        <v>17</v>
      </c>
      <c r="T295" s="4">
        <v>3824</v>
      </c>
    </row>
    <row r="296" spans="16:20" x14ac:dyDescent="0.3">
      <c r="P296" t="s">
        <v>586</v>
      </c>
      <c r="Q296" t="s">
        <v>86</v>
      </c>
      <c r="R296" t="s">
        <v>75</v>
      </c>
      <c r="S296" t="s">
        <v>17</v>
      </c>
      <c r="T296" s="4">
        <v>11368</v>
      </c>
    </row>
    <row r="297" spans="16:20" x14ac:dyDescent="0.3">
      <c r="P297" t="s">
        <v>588</v>
      </c>
      <c r="Q297" t="s">
        <v>165</v>
      </c>
      <c r="R297" t="s">
        <v>15</v>
      </c>
      <c r="S297" t="s">
        <v>35</v>
      </c>
      <c r="T297" s="4">
        <v>213440</v>
      </c>
    </row>
    <row r="298" spans="16:20" x14ac:dyDescent="0.3">
      <c r="P298" t="s">
        <v>590</v>
      </c>
      <c r="Q298" t="s">
        <v>25</v>
      </c>
      <c r="R298" t="s">
        <v>45</v>
      </c>
      <c r="S298" t="s">
        <v>26</v>
      </c>
      <c r="T298" s="4">
        <v>2538</v>
      </c>
    </row>
    <row r="299" spans="16:20" x14ac:dyDescent="0.3">
      <c r="P299" t="s">
        <v>591</v>
      </c>
      <c r="Q299" t="s">
        <v>90</v>
      </c>
      <c r="R299" t="s">
        <v>72</v>
      </c>
      <c r="S299" t="s">
        <v>42</v>
      </c>
      <c r="T299" s="4">
        <v>2501</v>
      </c>
    </row>
    <row r="300" spans="16:20" x14ac:dyDescent="0.3">
      <c r="P300" t="s">
        <v>592</v>
      </c>
      <c r="Q300" t="s">
        <v>79</v>
      </c>
      <c r="R300" t="s">
        <v>179</v>
      </c>
      <c r="S300" t="s">
        <v>26</v>
      </c>
      <c r="T300" s="4">
        <v>2194</v>
      </c>
    </row>
    <row r="301" spans="16:20" x14ac:dyDescent="0.3">
      <c r="P301" t="s">
        <v>594</v>
      </c>
      <c r="Q301" t="s">
        <v>63</v>
      </c>
      <c r="R301" t="s">
        <v>78</v>
      </c>
      <c r="S301" t="s">
        <v>52</v>
      </c>
      <c r="T301" s="4">
        <v>3595</v>
      </c>
    </row>
    <row r="302" spans="16:20" x14ac:dyDescent="0.3">
      <c r="P302" t="s">
        <v>596</v>
      </c>
      <c r="Q302" t="s">
        <v>113</v>
      </c>
      <c r="R302" t="s">
        <v>179</v>
      </c>
      <c r="S302" t="s">
        <v>35</v>
      </c>
      <c r="T302" s="4">
        <v>154440</v>
      </c>
    </row>
    <row r="303" spans="16:20" x14ac:dyDescent="0.3">
      <c r="P303" t="s">
        <v>598</v>
      </c>
      <c r="Q303" t="s">
        <v>165</v>
      </c>
      <c r="R303" t="s">
        <v>24</v>
      </c>
      <c r="S303" t="s">
        <v>35</v>
      </c>
      <c r="T303" s="4">
        <v>383140</v>
      </c>
    </row>
    <row r="304" spans="16:20" x14ac:dyDescent="0.3">
      <c r="P304" t="s">
        <v>600</v>
      </c>
      <c r="Q304" t="s">
        <v>51</v>
      </c>
      <c r="R304" t="s">
        <v>125</v>
      </c>
      <c r="S304" t="s">
        <v>52</v>
      </c>
      <c r="T304" s="4">
        <v>9648</v>
      </c>
    </row>
    <row r="305" spans="16:20" x14ac:dyDescent="0.3">
      <c r="P305" t="s">
        <v>601</v>
      </c>
      <c r="Q305" t="s">
        <v>25</v>
      </c>
      <c r="R305" t="s">
        <v>112</v>
      </c>
      <c r="S305" t="s">
        <v>26</v>
      </c>
      <c r="T305" s="4">
        <v>6156</v>
      </c>
    </row>
    <row r="306" spans="16:20" x14ac:dyDescent="0.3">
      <c r="P306" t="s">
        <v>602</v>
      </c>
      <c r="Q306" t="s">
        <v>79</v>
      </c>
      <c r="R306" t="s">
        <v>72</v>
      </c>
      <c r="S306" t="s">
        <v>26</v>
      </c>
      <c r="T306" s="4">
        <v>33965</v>
      </c>
    </row>
    <row r="307" spans="16:20" x14ac:dyDescent="0.3">
      <c r="P307" t="s">
        <v>604</v>
      </c>
      <c r="Q307" t="s">
        <v>165</v>
      </c>
      <c r="R307" t="s">
        <v>125</v>
      </c>
      <c r="S307" t="s">
        <v>35</v>
      </c>
      <c r="T307" s="4">
        <v>279552</v>
      </c>
    </row>
    <row r="308" spans="16:20" x14ac:dyDescent="0.3">
      <c r="P308" t="s">
        <v>606</v>
      </c>
      <c r="Q308" t="s">
        <v>159</v>
      </c>
      <c r="R308" t="s">
        <v>50</v>
      </c>
      <c r="S308" t="s">
        <v>42</v>
      </c>
      <c r="T308" s="4">
        <v>11965</v>
      </c>
    </row>
    <row r="309" spans="16:20" x14ac:dyDescent="0.3">
      <c r="P309" t="s">
        <v>607</v>
      </c>
      <c r="Q309" t="s">
        <v>218</v>
      </c>
      <c r="R309" t="s">
        <v>58</v>
      </c>
      <c r="S309" t="s">
        <v>17</v>
      </c>
      <c r="T309" s="4">
        <v>4195</v>
      </c>
    </row>
    <row r="310" spans="16:20" x14ac:dyDescent="0.3">
      <c r="P310" t="s">
        <v>608</v>
      </c>
      <c r="Q310" t="s">
        <v>159</v>
      </c>
      <c r="R310" t="s">
        <v>146</v>
      </c>
      <c r="S310" t="s">
        <v>42</v>
      </c>
      <c r="T310" s="4">
        <v>32543</v>
      </c>
    </row>
    <row r="311" spans="16:20" x14ac:dyDescent="0.3">
      <c r="P311" t="s">
        <v>609</v>
      </c>
      <c r="Q311" t="s">
        <v>59</v>
      </c>
      <c r="R311" t="s">
        <v>170</v>
      </c>
      <c r="S311" t="s">
        <v>26</v>
      </c>
      <c r="T311" s="4">
        <v>8214</v>
      </c>
    </row>
    <row r="312" spans="16:20" x14ac:dyDescent="0.3">
      <c r="P312" t="s">
        <v>610</v>
      </c>
      <c r="Q312" t="s">
        <v>90</v>
      </c>
      <c r="R312" t="s">
        <v>72</v>
      </c>
      <c r="S312" t="s">
        <v>42</v>
      </c>
      <c r="T312" s="4">
        <v>8088</v>
      </c>
    </row>
    <row r="313" spans="16:20" x14ac:dyDescent="0.3">
      <c r="P313" t="s">
        <v>612</v>
      </c>
      <c r="Q313" t="s">
        <v>86</v>
      </c>
      <c r="R313" t="s">
        <v>75</v>
      </c>
      <c r="S313" t="s">
        <v>17</v>
      </c>
      <c r="T313" s="4">
        <v>4074</v>
      </c>
    </row>
    <row r="314" spans="16:20" x14ac:dyDescent="0.3">
      <c r="P314" t="s">
        <v>613</v>
      </c>
      <c r="Q314" t="s">
        <v>159</v>
      </c>
      <c r="R314" t="s">
        <v>24</v>
      </c>
      <c r="S314" t="s">
        <v>42</v>
      </c>
      <c r="T314" s="4">
        <v>15323</v>
      </c>
    </row>
    <row r="315" spans="16:20" x14ac:dyDescent="0.3">
      <c r="P315" t="s">
        <v>614</v>
      </c>
      <c r="Q315" t="s">
        <v>25</v>
      </c>
      <c r="R315" t="s">
        <v>72</v>
      </c>
      <c r="S315" t="s">
        <v>26</v>
      </c>
      <c r="T315" s="4">
        <v>28805</v>
      </c>
    </row>
    <row r="316" spans="16:20" x14ac:dyDescent="0.3">
      <c r="P316" t="s">
        <v>616</v>
      </c>
      <c r="Q316" t="s">
        <v>41</v>
      </c>
      <c r="R316" t="s">
        <v>112</v>
      </c>
      <c r="S316" t="s">
        <v>42</v>
      </c>
      <c r="T316" s="4">
        <v>11286</v>
      </c>
    </row>
    <row r="317" spans="16:20" x14ac:dyDescent="0.3">
      <c r="P317" t="s">
        <v>617</v>
      </c>
      <c r="Q317" t="s">
        <v>69</v>
      </c>
      <c r="R317" t="s">
        <v>125</v>
      </c>
      <c r="S317" t="s">
        <v>26</v>
      </c>
      <c r="T317" s="4">
        <v>19200</v>
      </c>
    </row>
    <row r="318" spans="16:20" x14ac:dyDescent="0.3">
      <c r="P318" t="s">
        <v>618</v>
      </c>
      <c r="Q318" t="s">
        <v>69</v>
      </c>
      <c r="R318" t="s">
        <v>179</v>
      </c>
      <c r="S318" t="s">
        <v>26</v>
      </c>
      <c r="T318" s="4">
        <v>10920</v>
      </c>
    </row>
    <row r="319" spans="16:20" x14ac:dyDescent="0.3">
      <c r="P319" t="s">
        <v>620</v>
      </c>
      <c r="Q319" t="s">
        <v>113</v>
      </c>
      <c r="R319" t="s">
        <v>50</v>
      </c>
      <c r="S319" t="s">
        <v>35</v>
      </c>
      <c r="T319" s="4">
        <v>257243</v>
      </c>
    </row>
    <row r="320" spans="16:20" x14ac:dyDescent="0.3">
      <c r="P320" t="s">
        <v>621</v>
      </c>
      <c r="Q320" t="s">
        <v>109</v>
      </c>
      <c r="R320" t="s">
        <v>122</v>
      </c>
      <c r="S320" t="s">
        <v>52</v>
      </c>
      <c r="T320" s="4">
        <v>12048</v>
      </c>
    </row>
    <row r="321" spans="16:20" x14ac:dyDescent="0.3">
      <c r="P321" t="s">
        <v>623</v>
      </c>
      <c r="Q321" t="s">
        <v>51</v>
      </c>
      <c r="R321" t="s">
        <v>75</v>
      </c>
      <c r="S321" t="s">
        <v>52</v>
      </c>
      <c r="T321" s="4">
        <v>1843</v>
      </c>
    </row>
    <row r="322" spans="16:20" x14ac:dyDescent="0.3">
      <c r="P322" t="s">
        <v>625</v>
      </c>
      <c r="Q322" t="s">
        <v>113</v>
      </c>
      <c r="R322" t="s">
        <v>24</v>
      </c>
      <c r="S322" t="s">
        <v>35</v>
      </c>
      <c r="T322" s="4">
        <v>55013</v>
      </c>
    </row>
    <row r="323" spans="16:20" x14ac:dyDescent="0.3">
      <c r="P323" t="s">
        <v>627</v>
      </c>
      <c r="Q323" t="s">
        <v>86</v>
      </c>
      <c r="R323" t="s">
        <v>33</v>
      </c>
      <c r="S323" t="s">
        <v>17</v>
      </c>
      <c r="T323" s="4">
        <v>3490</v>
      </c>
    </row>
    <row r="324" spans="16:20" x14ac:dyDescent="0.3">
      <c r="P324" t="s">
        <v>628</v>
      </c>
      <c r="Q324" t="s">
        <v>147</v>
      </c>
      <c r="R324" t="s">
        <v>75</v>
      </c>
      <c r="S324" t="s">
        <v>52</v>
      </c>
      <c r="T324" s="4">
        <v>13076</v>
      </c>
    </row>
    <row r="325" spans="16:20" x14ac:dyDescent="0.3">
      <c r="P325" t="s">
        <v>629</v>
      </c>
      <c r="Q325" t="s">
        <v>130</v>
      </c>
      <c r="R325" t="s">
        <v>78</v>
      </c>
      <c r="S325" t="s">
        <v>35</v>
      </c>
      <c r="T325" s="4">
        <v>311416</v>
      </c>
    </row>
    <row r="326" spans="16:20" x14ac:dyDescent="0.3">
      <c r="P326" t="s">
        <v>631</v>
      </c>
      <c r="Q326" t="s">
        <v>218</v>
      </c>
      <c r="R326" t="s">
        <v>146</v>
      </c>
      <c r="S326" t="s">
        <v>17</v>
      </c>
      <c r="T326" s="4">
        <v>8605</v>
      </c>
    </row>
    <row r="327" spans="16:20" x14ac:dyDescent="0.3">
      <c r="P327" t="s">
        <v>632</v>
      </c>
      <c r="Q327" t="s">
        <v>41</v>
      </c>
      <c r="R327" t="s">
        <v>103</v>
      </c>
      <c r="S327" t="s">
        <v>42</v>
      </c>
      <c r="T327" s="4">
        <v>6572</v>
      </c>
    </row>
    <row r="328" spans="16:20" x14ac:dyDescent="0.3">
      <c r="P328" t="s">
        <v>633</v>
      </c>
      <c r="Q328" t="s">
        <v>46</v>
      </c>
      <c r="R328" t="s">
        <v>125</v>
      </c>
      <c r="S328" t="s">
        <v>42</v>
      </c>
      <c r="T328" s="4">
        <v>7470</v>
      </c>
    </row>
    <row r="329" spans="16:20" x14ac:dyDescent="0.3">
      <c r="P329" t="s">
        <v>634</v>
      </c>
      <c r="Q329" t="s">
        <v>109</v>
      </c>
      <c r="R329" t="s">
        <v>75</v>
      </c>
      <c r="S329" t="s">
        <v>52</v>
      </c>
      <c r="T329" s="4">
        <v>5088</v>
      </c>
    </row>
    <row r="330" spans="16:20" x14ac:dyDescent="0.3">
      <c r="P330" t="s">
        <v>636</v>
      </c>
      <c r="Q330" t="s">
        <v>25</v>
      </c>
      <c r="R330" t="s">
        <v>50</v>
      </c>
      <c r="S330" t="s">
        <v>26</v>
      </c>
      <c r="T330" s="4">
        <v>31806</v>
      </c>
    </row>
    <row r="331" spans="16:20" x14ac:dyDescent="0.3">
      <c r="P331" t="s">
        <v>638</v>
      </c>
      <c r="Q331" t="s">
        <v>69</v>
      </c>
      <c r="R331" t="s">
        <v>170</v>
      </c>
      <c r="S331" t="s">
        <v>26</v>
      </c>
      <c r="T331" s="4">
        <v>8290</v>
      </c>
    </row>
    <row r="332" spans="16:20" x14ac:dyDescent="0.3">
      <c r="P332" t="s">
        <v>639</v>
      </c>
      <c r="Q332" t="s">
        <v>51</v>
      </c>
      <c r="R332" t="s">
        <v>103</v>
      </c>
      <c r="S332" t="s">
        <v>52</v>
      </c>
      <c r="T332" s="4">
        <v>3462</v>
      </c>
    </row>
    <row r="333" spans="16:20" x14ac:dyDescent="0.3">
      <c r="P333" t="s">
        <v>641</v>
      </c>
      <c r="Q333" t="s">
        <v>51</v>
      </c>
      <c r="R333" t="s">
        <v>58</v>
      </c>
      <c r="S333" t="s">
        <v>52</v>
      </c>
      <c r="T333" s="4">
        <v>7096</v>
      </c>
    </row>
    <row r="334" spans="16:20" x14ac:dyDescent="0.3">
      <c r="P334" t="s">
        <v>642</v>
      </c>
      <c r="Q334" t="s">
        <v>34</v>
      </c>
      <c r="R334" t="s">
        <v>133</v>
      </c>
      <c r="S334" t="s">
        <v>35</v>
      </c>
      <c r="T334" s="4">
        <v>151312</v>
      </c>
    </row>
    <row r="335" spans="16:20" x14ac:dyDescent="0.3">
      <c r="P335" t="s">
        <v>643</v>
      </c>
      <c r="Q335" t="s">
        <v>46</v>
      </c>
      <c r="R335" t="s">
        <v>68</v>
      </c>
      <c r="S335" t="s">
        <v>42</v>
      </c>
      <c r="T335" s="4">
        <v>1191</v>
      </c>
    </row>
    <row r="336" spans="16:20" x14ac:dyDescent="0.3">
      <c r="P336" t="s">
        <v>644</v>
      </c>
      <c r="Q336" t="s">
        <v>130</v>
      </c>
      <c r="R336" t="s">
        <v>58</v>
      </c>
      <c r="S336" t="s">
        <v>35</v>
      </c>
      <c r="T336" s="4">
        <v>282350</v>
      </c>
    </row>
    <row r="337" spans="16:20" x14ac:dyDescent="0.3">
      <c r="P337" t="s">
        <v>645</v>
      </c>
      <c r="Q337" t="s">
        <v>130</v>
      </c>
      <c r="R337" t="s">
        <v>24</v>
      </c>
      <c r="S337" t="s">
        <v>35</v>
      </c>
      <c r="T337" s="4">
        <v>419576</v>
      </c>
    </row>
    <row r="338" spans="16:20" x14ac:dyDescent="0.3">
      <c r="P338" t="s">
        <v>647</v>
      </c>
      <c r="Q338" t="s">
        <v>69</v>
      </c>
      <c r="R338" t="s">
        <v>45</v>
      </c>
      <c r="S338" t="s">
        <v>26</v>
      </c>
      <c r="T338" s="4">
        <v>11982</v>
      </c>
    </row>
    <row r="339" spans="16:20" x14ac:dyDescent="0.3">
      <c r="P339" t="s">
        <v>648</v>
      </c>
      <c r="Q339" t="s">
        <v>46</v>
      </c>
      <c r="R339" t="s">
        <v>75</v>
      </c>
      <c r="S339" t="s">
        <v>42</v>
      </c>
      <c r="T339" s="4">
        <v>7112</v>
      </c>
    </row>
    <row r="340" spans="16:20" x14ac:dyDescent="0.3">
      <c r="P340" t="s">
        <v>649</v>
      </c>
      <c r="Q340" t="s">
        <v>16</v>
      </c>
      <c r="R340" t="s">
        <v>68</v>
      </c>
      <c r="S340" t="s">
        <v>17</v>
      </c>
      <c r="T340" s="4">
        <v>11384</v>
      </c>
    </row>
    <row r="341" spans="16:20" x14ac:dyDescent="0.3">
      <c r="P341" t="s">
        <v>650</v>
      </c>
      <c r="Q341" t="s">
        <v>46</v>
      </c>
      <c r="R341" t="s">
        <v>15</v>
      </c>
      <c r="S341" t="s">
        <v>42</v>
      </c>
      <c r="T341" s="4">
        <v>6940</v>
      </c>
    </row>
    <row r="342" spans="16:20" x14ac:dyDescent="0.3">
      <c r="P342" t="s">
        <v>651</v>
      </c>
      <c r="Q342" t="s">
        <v>90</v>
      </c>
      <c r="R342" t="s">
        <v>58</v>
      </c>
      <c r="S342" t="s">
        <v>42</v>
      </c>
      <c r="T342" s="4">
        <v>25585</v>
      </c>
    </row>
    <row r="343" spans="16:20" x14ac:dyDescent="0.3">
      <c r="P343" t="s">
        <v>653</v>
      </c>
      <c r="Q343" t="s">
        <v>159</v>
      </c>
      <c r="R343" t="s">
        <v>112</v>
      </c>
      <c r="S343" t="s">
        <v>42</v>
      </c>
      <c r="T343" s="4">
        <v>22624</v>
      </c>
    </row>
    <row r="344" spans="16:20" x14ac:dyDescent="0.3">
      <c r="P344" t="s">
        <v>654</v>
      </c>
      <c r="Q344" t="s">
        <v>41</v>
      </c>
      <c r="R344" t="s">
        <v>78</v>
      </c>
      <c r="S344" t="s">
        <v>42</v>
      </c>
      <c r="T344" s="4">
        <v>33808</v>
      </c>
    </row>
    <row r="345" spans="16:20" x14ac:dyDescent="0.3">
      <c r="P345" t="s">
        <v>655</v>
      </c>
      <c r="Q345" t="s">
        <v>69</v>
      </c>
      <c r="R345" t="s">
        <v>112</v>
      </c>
      <c r="S345" t="s">
        <v>26</v>
      </c>
      <c r="T345" s="4">
        <v>20432</v>
      </c>
    </row>
    <row r="346" spans="16:20" x14ac:dyDescent="0.3">
      <c r="P346" t="s">
        <v>657</v>
      </c>
      <c r="Q346" t="s">
        <v>59</v>
      </c>
      <c r="R346" t="s">
        <v>103</v>
      </c>
      <c r="S346" t="s">
        <v>26</v>
      </c>
      <c r="T346" s="4">
        <v>10432</v>
      </c>
    </row>
    <row r="347" spans="16:20" x14ac:dyDescent="0.3">
      <c r="P347" t="s">
        <v>658</v>
      </c>
      <c r="Q347" t="s">
        <v>113</v>
      </c>
      <c r="R347" t="s">
        <v>15</v>
      </c>
      <c r="S347" t="s">
        <v>35</v>
      </c>
      <c r="T347" s="4">
        <v>26871</v>
      </c>
    </row>
    <row r="348" spans="16:20" x14ac:dyDescent="0.3">
      <c r="P348" t="s">
        <v>659</v>
      </c>
      <c r="Q348" t="s">
        <v>116</v>
      </c>
      <c r="R348" t="s">
        <v>170</v>
      </c>
      <c r="S348" t="s">
        <v>17</v>
      </c>
      <c r="T348" s="4">
        <v>6960</v>
      </c>
    </row>
    <row r="349" spans="16:20" x14ac:dyDescent="0.3">
      <c r="P349" t="s">
        <v>661</v>
      </c>
      <c r="Q349" t="s">
        <v>97</v>
      </c>
      <c r="R349" t="s">
        <v>50</v>
      </c>
      <c r="S349" t="s">
        <v>35</v>
      </c>
      <c r="T349" s="4">
        <v>282224</v>
      </c>
    </row>
    <row r="350" spans="16:20" x14ac:dyDescent="0.3">
      <c r="P350" t="s">
        <v>662</v>
      </c>
      <c r="Q350" t="s">
        <v>51</v>
      </c>
      <c r="R350" t="s">
        <v>78</v>
      </c>
      <c r="S350" t="s">
        <v>52</v>
      </c>
      <c r="T350" s="4">
        <v>7372</v>
      </c>
    </row>
    <row r="351" spans="16:20" x14ac:dyDescent="0.3">
      <c r="P351" t="s">
        <v>664</v>
      </c>
      <c r="Q351" t="s">
        <v>46</v>
      </c>
      <c r="R351" t="s">
        <v>24</v>
      </c>
      <c r="S351" t="s">
        <v>42</v>
      </c>
      <c r="T351" s="4">
        <v>15798</v>
      </c>
    </row>
    <row r="352" spans="16:20" x14ac:dyDescent="0.3">
      <c r="P352" t="s">
        <v>665</v>
      </c>
      <c r="Q352" t="s">
        <v>147</v>
      </c>
      <c r="R352" t="s">
        <v>45</v>
      </c>
      <c r="S352" t="s">
        <v>52</v>
      </c>
      <c r="T352" s="4">
        <v>7072</v>
      </c>
    </row>
    <row r="353" spans="16:20" x14ac:dyDescent="0.3">
      <c r="P353" t="s">
        <v>667</v>
      </c>
      <c r="Q353" t="s">
        <v>34</v>
      </c>
      <c r="R353" t="s">
        <v>146</v>
      </c>
      <c r="S353" t="s">
        <v>35</v>
      </c>
      <c r="T353" s="4">
        <v>65994</v>
      </c>
    </row>
    <row r="354" spans="16:20" x14ac:dyDescent="0.3">
      <c r="P354" t="s">
        <v>669</v>
      </c>
      <c r="Q354" t="s">
        <v>46</v>
      </c>
      <c r="R354" t="s">
        <v>179</v>
      </c>
      <c r="S354" t="s">
        <v>42</v>
      </c>
      <c r="T354" s="4">
        <v>26395</v>
      </c>
    </row>
    <row r="355" spans="16:20" x14ac:dyDescent="0.3">
      <c r="P355" t="s">
        <v>671</v>
      </c>
      <c r="Q355" t="s">
        <v>97</v>
      </c>
      <c r="R355" t="s">
        <v>146</v>
      </c>
      <c r="S355" t="s">
        <v>35</v>
      </c>
      <c r="T355" s="4">
        <v>68457</v>
      </c>
    </row>
    <row r="356" spans="16:20" x14ac:dyDescent="0.3">
      <c r="P356" t="s">
        <v>672</v>
      </c>
      <c r="Q356" t="s">
        <v>218</v>
      </c>
      <c r="R356" t="s">
        <v>78</v>
      </c>
      <c r="S356" t="s">
        <v>17</v>
      </c>
      <c r="T356" s="4">
        <v>3824</v>
      </c>
    </row>
    <row r="357" spans="16:20" x14ac:dyDescent="0.3">
      <c r="P357" t="s">
        <v>674</v>
      </c>
      <c r="Q357" t="s">
        <v>46</v>
      </c>
      <c r="R357" t="s">
        <v>68</v>
      </c>
      <c r="S357" t="s">
        <v>42</v>
      </c>
      <c r="T357" s="4">
        <v>3526</v>
      </c>
    </row>
    <row r="358" spans="16:20" x14ac:dyDescent="0.3">
      <c r="P358" t="s">
        <v>676</v>
      </c>
      <c r="Q358" t="s">
        <v>116</v>
      </c>
      <c r="R358" t="s">
        <v>15</v>
      </c>
      <c r="S358" t="s">
        <v>17</v>
      </c>
      <c r="T358" s="4">
        <v>11008</v>
      </c>
    </row>
    <row r="359" spans="16:20" x14ac:dyDescent="0.3">
      <c r="P359" t="s">
        <v>677</v>
      </c>
      <c r="Q359" t="s">
        <v>41</v>
      </c>
      <c r="R359" t="s">
        <v>40</v>
      </c>
      <c r="S359" t="s">
        <v>42</v>
      </c>
      <c r="T359" s="4">
        <v>20139</v>
      </c>
    </row>
    <row r="360" spans="16:20" x14ac:dyDescent="0.3">
      <c r="P360" t="s">
        <v>678</v>
      </c>
      <c r="Q360" t="s">
        <v>86</v>
      </c>
      <c r="R360" t="s">
        <v>78</v>
      </c>
      <c r="S360" t="s">
        <v>17</v>
      </c>
      <c r="T360" s="4">
        <v>4816</v>
      </c>
    </row>
    <row r="361" spans="16:20" x14ac:dyDescent="0.3">
      <c r="P361" t="s">
        <v>679</v>
      </c>
      <c r="Q361" t="s">
        <v>59</v>
      </c>
      <c r="R361" t="s">
        <v>24</v>
      </c>
      <c r="S361" t="s">
        <v>26</v>
      </c>
      <c r="T361" s="4">
        <v>30040</v>
      </c>
    </row>
    <row r="362" spans="16:20" x14ac:dyDescent="0.3">
      <c r="P362" t="s">
        <v>680</v>
      </c>
      <c r="Q362" t="s">
        <v>165</v>
      </c>
      <c r="R362" t="s">
        <v>50</v>
      </c>
      <c r="S362" t="s">
        <v>35</v>
      </c>
      <c r="T362" s="4">
        <v>269370</v>
      </c>
    </row>
    <row r="363" spans="16:20" x14ac:dyDescent="0.3">
      <c r="P363" t="s">
        <v>682</v>
      </c>
      <c r="Q363" t="s">
        <v>90</v>
      </c>
      <c r="R363" t="s">
        <v>15</v>
      </c>
      <c r="S363" t="s">
        <v>42</v>
      </c>
      <c r="T363" s="4">
        <v>5580</v>
      </c>
    </row>
    <row r="364" spans="16:20" x14ac:dyDescent="0.3">
      <c r="P364" t="s">
        <v>683</v>
      </c>
      <c r="Q364" t="s">
        <v>113</v>
      </c>
      <c r="R364" t="s">
        <v>146</v>
      </c>
      <c r="S364" t="s">
        <v>35</v>
      </c>
      <c r="T364" s="4">
        <v>377090</v>
      </c>
    </row>
    <row r="365" spans="16:20" x14ac:dyDescent="0.3">
      <c r="P365" t="s">
        <v>684</v>
      </c>
      <c r="Q365" t="s">
        <v>130</v>
      </c>
      <c r="R365" t="s">
        <v>75</v>
      </c>
      <c r="S365" t="s">
        <v>35</v>
      </c>
      <c r="T365" s="4">
        <v>167444</v>
      </c>
    </row>
    <row r="366" spans="16:20" x14ac:dyDescent="0.3">
      <c r="P366" t="s">
        <v>685</v>
      </c>
      <c r="Q366" t="s">
        <v>51</v>
      </c>
      <c r="R366" t="s">
        <v>170</v>
      </c>
      <c r="S366" t="s">
        <v>52</v>
      </c>
      <c r="T366" s="4">
        <v>2960</v>
      </c>
    </row>
    <row r="367" spans="16:20" x14ac:dyDescent="0.3">
      <c r="P367" t="s">
        <v>686</v>
      </c>
      <c r="Q367" t="s">
        <v>86</v>
      </c>
      <c r="R367" t="s">
        <v>170</v>
      </c>
      <c r="S367" t="s">
        <v>17</v>
      </c>
      <c r="T367" s="4">
        <v>1598</v>
      </c>
    </row>
    <row r="368" spans="16:20" x14ac:dyDescent="0.3">
      <c r="P368" t="s">
        <v>688</v>
      </c>
      <c r="Q368" t="s">
        <v>116</v>
      </c>
      <c r="R368" t="s">
        <v>125</v>
      </c>
      <c r="S368" t="s">
        <v>17</v>
      </c>
      <c r="T368" s="4">
        <v>1508</v>
      </c>
    </row>
    <row r="369" spans="16:20" x14ac:dyDescent="0.3">
      <c r="P369" t="s">
        <v>689</v>
      </c>
      <c r="Q369" t="s">
        <v>113</v>
      </c>
      <c r="R369" t="s">
        <v>58</v>
      </c>
      <c r="S369" t="s">
        <v>35</v>
      </c>
      <c r="T369" s="4">
        <v>141239</v>
      </c>
    </row>
    <row r="370" spans="16:20" x14ac:dyDescent="0.3">
      <c r="P370" t="s">
        <v>691</v>
      </c>
      <c r="Q370" t="s">
        <v>218</v>
      </c>
      <c r="R370" t="s">
        <v>170</v>
      </c>
      <c r="S370" t="s">
        <v>17</v>
      </c>
      <c r="T370" s="4">
        <v>10212</v>
      </c>
    </row>
    <row r="371" spans="16:20" x14ac:dyDescent="0.3">
      <c r="P371" t="s">
        <v>693</v>
      </c>
      <c r="Q371" t="s">
        <v>109</v>
      </c>
      <c r="R371" t="s">
        <v>72</v>
      </c>
      <c r="S371" t="s">
        <v>52</v>
      </c>
      <c r="T371" s="4">
        <v>6776</v>
      </c>
    </row>
    <row r="372" spans="16:20" x14ac:dyDescent="0.3">
      <c r="P372" t="s">
        <v>694</v>
      </c>
      <c r="Q372" t="s">
        <v>86</v>
      </c>
      <c r="R372" t="s">
        <v>170</v>
      </c>
      <c r="S372" t="s">
        <v>17</v>
      </c>
      <c r="T372" s="4">
        <v>2667</v>
      </c>
    </row>
    <row r="373" spans="16:20" x14ac:dyDescent="0.3">
      <c r="P373" t="s">
        <v>695</v>
      </c>
      <c r="Q373" t="s">
        <v>59</v>
      </c>
      <c r="R373" t="s">
        <v>103</v>
      </c>
      <c r="S373" t="s">
        <v>26</v>
      </c>
      <c r="T373" s="4">
        <v>82808</v>
      </c>
    </row>
    <row r="374" spans="16:20" x14ac:dyDescent="0.3">
      <c r="P374" t="s">
        <v>696</v>
      </c>
      <c r="Q374" t="s">
        <v>109</v>
      </c>
      <c r="R374" t="s">
        <v>68</v>
      </c>
      <c r="S374" t="s">
        <v>52</v>
      </c>
      <c r="T374" s="4">
        <v>2272</v>
      </c>
    </row>
    <row r="375" spans="16:20" x14ac:dyDescent="0.3">
      <c r="P375" t="s">
        <v>698</v>
      </c>
      <c r="Q375" t="s">
        <v>51</v>
      </c>
      <c r="R375" t="s">
        <v>78</v>
      </c>
      <c r="S375" t="s">
        <v>52</v>
      </c>
      <c r="T375" s="4">
        <v>4470</v>
      </c>
    </row>
    <row r="376" spans="16:20" x14ac:dyDescent="0.3">
      <c r="P376" t="s">
        <v>699</v>
      </c>
      <c r="Q376" t="s">
        <v>109</v>
      </c>
      <c r="R376" t="s">
        <v>122</v>
      </c>
      <c r="S376" t="s">
        <v>52</v>
      </c>
      <c r="T376" s="4">
        <v>7144</v>
      </c>
    </row>
    <row r="377" spans="16:20" x14ac:dyDescent="0.3">
      <c r="P377" t="s">
        <v>700</v>
      </c>
      <c r="Q377" t="s">
        <v>97</v>
      </c>
      <c r="R377" t="s">
        <v>112</v>
      </c>
      <c r="S377" t="s">
        <v>35</v>
      </c>
      <c r="T377" s="4">
        <v>236490</v>
      </c>
    </row>
    <row r="378" spans="16:20" x14ac:dyDescent="0.3">
      <c r="P378" t="s">
        <v>701</v>
      </c>
      <c r="Q378" t="s">
        <v>63</v>
      </c>
      <c r="R378" t="s">
        <v>58</v>
      </c>
      <c r="S378" t="s">
        <v>52</v>
      </c>
      <c r="T378" s="4">
        <v>7990</v>
      </c>
    </row>
    <row r="379" spans="16:20" x14ac:dyDescent="0.3">
      <c r="P379" t="s">
        <v>703</v>
      </c>
      <c r="Q379" t="s">
        <v>165</v>
      </c>
      <c r="R379" t="s">
        <v>24</v>
      </c>
      <c r="S379" t="s">
        <v>35</v>
      </c>
      <c r="T379" s="4">
        <v>308798</v>
      </c>
    </row>
    <row r="380" spans="16:20" x14ac:dyDescent="0.3">
      <c r="P380" t="s">
        <v>704</v>
      </c>
      <c r="Q380" t="s">
        <v>97</v>
      </c>
      <c r="R380" t="s">
        <v>45</v>
      </c>
      <c r="S380" t="s">
        <v>35</v>
      </c>
      <c r="T380" s="4">
        <v>112085</v>
      </c>
    </row>
    <row r="381" spans="16:20" x14ac:dyDescent="0.3">
      <c r="P381" t="s">
        <v>706</v>
      </c>
      <c r="Q381" t="s">
        <v>79</v>
      </c>
      <c r="R381" t="s">
        <v>129</v>
      </c>
      <c r="S381" t="s">
        <v>26</v>
      </c>
      <c r="T381" s="4">
        <v>9030</v>
      </c>
    </row>
    <row r="382" spans="16:20" x14ac:dyDescent="0.3">
      <c r="P382" t="s">
        <v>707</v>
      </c>
      <c r="Q382" t="s">
        <v>159</v>
      </c>
      <c r="R382" t="s">
        <v>179</v>
      </c>
      <c r="S382" t="s">
        <v>42</v>
      </c>
      <c r="T382" s="4">
        <v>3288</v>
      </c>
    </row>
    <row r="383" spans="16:20" x14ac:dyDescent="0.3">
      <c r="P383" t="s">
        <v>709</v>
      </c>
      <c r="Q383" t="s">
        <v>90</v>
      </c>
      <c r="R383" t="s">
        <v>170</v>
      </c>
      <c r="S383" t="s">
        <v>42</v>
      </c>
      <c r="T383" s="4">
        <v>24096</v>
      </c>
    </row>
    <row r="384" spans="16:20" x14ac:dyDescent="0.3">
      <c r="P384" t="s">
        <v>710</v>
      </c>
      <c r="Q384" t="s">
        <v>90</v>
      </c>
      <c r="R384" t="s">
        <v>179</v>
      </c>
      <c r="S384" t="s">
        <v>42</v>
      </c>
      <c r="T384" s="4">
        <v>4084</v>
      </c>
    </row>
    <row r="385" spans="16:20" x14ac:dyDescent="0.3">
      <c r="P385" t="s">
        <v>711</v>
      </c>
      <c r="Q385" t="s">
        <v>130</v>
      </c>
      <c r="R385" t="s">
        <v>146</v>
      </c>
      <c r="S385" t="s">
        <v>35</v>
      </c>
      <c r="T385" s="4">
        <v>248592</v>
      </c>
    </row>
    <row r="386" spans="16:20" x14ac:dyDescent="0.3">
      <c r="P386" t="s">
        <v>712</v>
      </c>
      <c r="Q386" t="s">
        <v>79</v>
      </c>
      <c r="R386" t="s">
        <v>146</v>
      </c>
      <c r="S386" t="s">
        <v>26</v>
      </c>
      <c r="T386" s="4">
        <v>57631</v>
      </c>
    </row>
    <row r="387" spans="16:20" x14ac:dyDescent="0.3">
      <c r="P387" t="s">
        <v>714</v>
      </c>
      <c r="Q387" t="s">
        <v>147</v>
      </c>
      <c r="R387" t="s">
        <v>50</v>
      </c>
      <c r="S387" t="s">
        <v>52</v>
      </c>
      <c r="T387" s="4">
        <v>4180</v>
      </c>
    </row>
    <row r="388" spans="16:20" x14ac:dyDescent="0.3">
      <c r="P388" t="s">
        <v>715</v>
      </c>
      <c r="Q388" t="s">
        <v>109</v>
      </c>
      <c r="R388" t="s">
        <v>40</v>
      </c>
      <c r="S388" t="s">
        <v>52</v>
      </c>
      <c r="T388" s="4">
        <v>2526</v>
      </c>
    </row>
    <row r="389" spans="16:20" x14ac:dyDescent="0.3">
      <c r="P389" t="s">
        <v>717</v>
      </c>
      <c r="Q389" t="s">
        <v>63</v>
      </c>
      <c r="R389" t="s">
        <v>122</v>
      </c>
      <c r="S389" t="s">
        <v>52</v>
      </c>
      <c r="T389" s="4">
        <v>10640</v>
      </c>
    </row>
    <row r="390" spans="16:20" x14ac:dyDescent="0.3">
      <c r="P390" t="s">
        <v>718</v>
      </c>
      <c r="Q390" t="s">
        <v>90</v>
      </c>
      <c r="R390" t="s">
        <v>33</v>
      </c>
      <c r="S390" t="s">
        <v>42</v>
      </c>
      <c r="T390" s="4">
        <v>5777</v>
      </c>
    </row>
    <row r="391" spans="16:20" x14ac:dyDescent="0.3">
      <c r="P391" t="s">
        <v>719</v>
      </c>
      <c r="Q391" t="s">
        <v>113</v>
      </c>
      <c r="R391" t="s">
        <v>24</v>
      </c>
      <c r="S391" t="s">
        <v>35</v>
      </c>
      <c r="T391" s="4">
        <v>45899</v>
      </c>
    </row>
    <row r="392" spans="16:20" x14ac:dyDescent="0.3">
      <c r="P392" t="s">
        <v>720</v>
      </c>
      <c r="Q392" t="s">
        <v>46</v>
      </c>
      <c r="R392" t="s">
        <v>40</v>
      </c>
      <c r="S392" t="s">
        <v>42</v>
      </c>
      <c r="T392" s="4">
        <v>7608</v>
      </c>
    </row>
    <row r="393" spans="16:20" x14ac:dyDescent="0.3">
      <c r="P393" t="s">
        <v>721</v>
      </c>
      <c r="Q393" t="s">
        <v>130</v>
      </c>
      <c r="R393" t="s">
        <v>125</v>
      </c>
      <c r="S393" t="s">
        <v>35</v>
      </c>
      <c r="T393" s="4">
        <v>209300</v>
      </c>
    </row>
    <row r="394" spans="16:20" x14ac:dyDescent="0.3">
      <c r="P394" t="s">
        <v>723</v>
      </c>
      <c r="Q394" t="s">
        <v>59</v>
      </c>
      <c r="R394" t="s">
        <v>45</v>
      </c>
      <c r="S394" t="s">
        <v>26</v>
      </c>
      <c r="T394" s="4">
        <v>53724</v>
      </c>
    </row>
    <row r="395" spans="16:20" x14ac:dyDescent="0.3">
      <c r="P395" t="s">
        <v>724</v>
      </c>
      <c r="Q395" t="s">
        <v>16</v>
      </c>
      <c r="R395" t="s">
        <v>129</v>
      </c>
      <c r="S395" t="s">
        <v>17</v>
      </c>
      <c r="T395" s="4">
        <v>12640</v>
      </c>
    </row>
    <row r="396" spans="16:20" x14ac:dyDescent="0.3">
      <c r="P396" t="s">
        <v>725</v>
      </c>
      <c r="Q396" t="s">
        <v>109</v>
      </c>
      <c r="R396" t="s">
        <v>170</v>
      </c>
      <c r="S396" t="s">
        <v>52</v>
      </c>
      <c r="T396" s="4">
        <v>2958</v>
      </c>
    </row>
    <row r="397" spans="16:20" x14ac:dyDescent="0.3">
      <c r="P397" t="s">
        <v>726</v>
      </c>
      <c r="Q397" t="s">
        <v>63</v>
      </c>
      <c r="R397" t="s">
        <v>146</v>
      </c>
      <c r="S397" t="s">
        <v>52</v>
      </c>
      <c r="T397" s="4">
        <v>13272</v>
      </c>
    </row>
    <row r="398" spans="16:20" x14ac:dyDescent="0.3">
      <c r="P398" t="s">
        <v>728</v>
      </c>
      <c r="Q398" t="s">
        <v>41</v>
      </c>
      <c r="R398" t="s">
        <v>129</v>
      </c>
      <c r="S398" t="s">
        <v>42</v>
      </c>
      <c r="T398" s="4">
        <v>25445</v>
      </c>
    </row>
    <row r="399" spans="16:20" x14ac:dyDescent="0.3">
      <c r="P399" t="s">
        <v>730</v>
      </c>
      <c r="Q399" t="s">
        <v>218</v>
      </c>
      <c r="R399" t="s">
        <v>170</v>
      </c>
      <c r="S399" t="s">
        <v>17</v>
      </c>
      <c r="T399" s="4">
        <v>4407</v>
      </c>
    </row>
    <row r="400" spans="16:20" x14ac:dyDescent="0.3">
      <c r="P400" t="s">
        <v>732</v>
      </c>
      <c r="Q400" t="s">
        <v>41</v>
      </c>
      <c r="R400" t="s">
        <v>129</v>
      </c>
      <c r="S400" t="s">
        <v>42</v>
      </c>
      <c r="T400" s="4">
        <v>9880</v>
      </c>
    </row>
    <row r="401" spans="16:20" x14ac:dyDescent="0.3">
      <c r="P401" t="s">
        <v>733</v>
      </c>
      <c r="Q401" t="s">
        <v>41</v>
      </c>
      <c r="R401" t="s">
        <v>68</v>
      </c>
      <c r="S401" t="s">
        <v>42</v>
      </c>
      <c r="T401" s="4">
        <v>14967</v>
      </c>
    </row>
    <row r="402" spans="16:20" x14ac:dyDescent="0.3">
      <c r="P402" t="s">
        <v>735</v>
      </c>
      <c r="Q402" t="s">
        <v>116</v>
      </c>
      <c r="R402" t="s">
        <v>68</v>
      </c>
      <c r="S402" t="s">
        <v>17</v>
      </c>
      <c r="T402" s="4">
        <v>616</v>
      </c>
    </row>
    <row r="403" spans="16:20" x14ac:dyDescent="0.3">
      <c r="P403" t="s">
        <v>736</v>
      </c>
      <c r="Q403" t="s">
        <v>59</v>
      </c>
      <c r="R403" t="s">
        <v>68</v>
      </c>
      <c r="S403" t="s">
        <v>26</v>
      </c>
      <c r="T403" s="4">
        <v>21328</v>
      </c>
    </row>
    <row r="404" spans="16:20" x14ac:dyDescent="0.3">
      <c r="P404" t="s">
        <v>738</v>
      </c>
      <c r="Q404" t="s">
        <v>113</v>
      </c>
      <c r="R404" t="s">
        <v>58</v>
      </c>
      <c r="S404" t="s">
        <v>35</v>
      </c>
      <c r="T404" s="4">
        <v>96832</v>
      </c>
    </row>
    <row r="405" spans="16:20" x14ac:dyDescent="0.3">
      <c r="P405" t="s">
        <v>740</v>
      </c>
      <c r="Q405" t="s">
        <v>165</v>
      </c>
      <c r="R405" t="s">
        <v>33</v>
      </c>
      <c r="S405" t="s">
        <v>35</v>
      </c>
      <c r="T405" s="4">
        <v>50400</v>
      </c>
    </row>
    <row r="406" spans="16:20" x14ac:dyDescent="0.3">
      <c r="P406" t="s">
        <v>741</v>
      </c>
      <c r="Q406" t="s">
        <v>51</v>
      </c>
      <c r="R406" t="s">
        <v>58</v>
      </c>
      <c r="S406" t="s">
        <v>52</v>
      </c>
      <c r="T406" s="4">
        <v>9666</v>
      </c>
    </row>
    <row r="407" spans="16:20" x14ac:dyDescent="0.3">
      <c r="P407" t="s">
        <v>742</v>
      </c>
      <c r="Q407" t="s">
        <v>116</v>
      </c>
      <c r="R407" t="s">
        <v>50</v>
      </c>
      <c r="S407" t="s">
        <v>17</v>
      </c>
      <c r="T407" s="4">
        <v>10104</v>
      </c>
    </row>
    <row r="408" spans="16:20" x14ac:dyDescent="0.3">
      <c r="P408" t="s">
        <v>744</v>
      </c>
      <c r="Q408" t="s">
        <v>90</v>
      </c>
      <c r="R408" t="s">
        <v>129</v>
      </c>
      <c r="S408" t="s">
        <v>42</v>
      </c>
      <c r="T408" s="4">
        <v>9242</v>
      </c>
    </row>
    <row r="409" spans="16:20" x14ac:dyDescent="0.3">
      <c r="P409" t="s">
        <v>745</v>
      </c>
      <c r="Q409" t="s">
        <v>41</v>
      </c>
      <c r="R409" t="s">
        <v>78</v>
      </c>
      <c r="S409" t="s">
        <v>42</v>
      </c>
      <c r="T409" s="4">
        <v>7966</v>
      </c>
    </row>
    <row r="410" spans="16:20" x14ac:dyDescent="0.3">
      <c r="P410" t="s">
        <v>746</v>
      </c>
      <c r="Q410" t="s">
        <v>218</v>
      </c>
      <c r="R410" t="s">
        <v>58</v>
      </c>
      <c r="S410" t="s">
        <v>17</v>
      </c>
      <c r="T410" s="4">
        <v>8337</v>
      </c>
    </row>
    <row r="411" spans="16:20" x14ac:dyDescent="0.3">
      <c r="P411" t="s">
        <v>747</v>
      </c>
      <c r="Q411" t="s">
        <v>165</v>
      </c>
      <c r="R411" t="s">
        <v>170</v>
      </c>
      <c r="S411" t="s">
        <v>35</v>
      </c>
      <c r="T411" s="4">
        <v>445504</v>
      </c>
    </row>
    <row r="412" spans="16:20" x14ac:dyDescent="0.3">
      <c r="P412" t="s">
        <v>748</v>
      </c>
      <c r="Q412" t="s">
        <v>63</v>
      </c>
      <c r="R412" t="s">
        <v>179</v>
      </c>
      <c r="S412" t="s">
        <v>52</v>
      </c>
      <c r="T412" s="4">
        <v>861</v>
      </c>
    </row>
    <row r="413" spans="16:20" x14ac:dyDescent="0.3">
      <c r="P413" t="s">
        <v>749</v>
      </c>
      <c r="Q413" t="s">
        <v>59</v>
      </c>
      <c r="R413" t="s">
        <v>33</v>
      </c>
      <c r="S413" t="s">
        <v>26</v>
      </c>
      <c r="T413" s="4">
        <v>44532</v>
      </c>
    </row>
    <row r="414" spans="16:20" x14ac:dyDescent="0.3">
      <c r="P414" t="s">
        <v>750</v>
      </c>
      <c r="Q414" t="s">
        <v>59</v>
      </c>
      <c r="R414" t="s">
        <v>50</v>
      </c>
      <c r="S414" t="s">
        <v>26</v>
      </c>
      <c r="T414" s="4">
        <v>36295</v>
      </c>
    </row>
    <row r="415" spans="16:20" x14ac:dyDescent="0.3">
      <c r="P415" t="s">
        <v>751</v>
      </c>
      <c r="Q415" t="s">
        <v>51</v>
      </c>
      <c r="R415" t="s">
        <v>72</v>
      </c>
      <c r="S415" t="s">
        <v>52</v>
      </c>
      <c r="T415" s="4">
        <v>7300</v>
      </c>
    </row>
    <row r="416" spans="16:20" x14ac:dyDescent="0.3">
      <c r="P416" t="s">
        <v>753</v>
      </c>
      <c r="Q416" t="s">
        <v>51</v>
      </c>
      <c r="R416" t="s">
        <v>45</v>
      </c>
      <c r="S416" t="s">
        <v>52</v>
      </c>
      <c r="T416" s="4">
        <v>4172</v>
      </c>
    </row>
    <row r="417" spans="16:20" x14ac:dyDescent="0.3">
      <c r="P417" t="s">
        <v>754</v>
      </c>
      <c r="Q417" t="s">
        <v>69</v>
      </c>
      <c r="R417" t="s">
        <v>112</v>
      </c>
      <c r="S417" t="s">
        <v>26</v>
      </c>
      <c r="T417" s="4">
        <v>5526</v>
      </c>
    </row>
    <row r="418" spans="16:20" x14ac:dyDescent="0.3">
      <c r="P418" t="s">
        <v>755</v>
      </c>
      <c r="Q418" t="s">
        <v>16</v>
      </c>
      <c r="R418" t="s">
        <v>72</v>
      </c>
      <c r="S418" t="s">
        <v>17</v>
      </c>
      <c r="T418" s="4">
        <v>13944</v>
      </c>
    </row>
    <row r="419" spans="16:20" x14ac:dyDescent="0.3">
      <c r="P419" t="s">
        <v>757</v>
      </c>
      <c r="Q419" t="s">
        <v>25</v>
      </c>
      <c r="R419" t="s">
        <v>45</v>
      </c>
      <c r="S419" t="s">
        <v>26</v>
      </c>
      <c r="T419" s="4">
        <v>19268</v>
      </c>
    </row>
    <row r="420" spans="16:20" x14ac:dyDescent="0.3">
      <c r="P420" t="s">
        <v>758</v>
      </c>
      <c r="Q420" t="s">
        <v>90</v>
      </c>
      <c r="R420" t="s">
        <v>45</v>
      </c>
      <c r="S420" t="s">
        <v>42</v>
      </c>
      <c r="T420" s="4">
        <v>28728</v>
      </c>
    </row>
    <row r="421" spans="16:20" x14ac:dyDescent="0.3">
      <c r="P421" t="s">
        <v>759</v>
      </c>
      <c r="Q421" t="s">
        <v>116</v>
      </c>
      <c r="R421" t="s">
        <v>72</v>
      </c>
      <c r="S421" t="s">
        <v>17</v>
      </c>
      <c r="T421" s="4">
        <v>4419</v>
      </c>
    </row>
    <row r="422" spans="16:20" x14ac:dyDescent="0.3">
      <c r="P422" t="s">
        <v>761</v>
      </c>
      <c r="Q422" t="s">
        <v>34</v>
      </c>
      <c r="R422" t="s">
        <v>146</v>
      </c>
      <c r="S422" t="s">
        <v>35</v>
      </c>
      <c r="T422" s="4">
        <v>21805</v>
      </c>
    </row>
    <row r="423" spans="16:20" x14ac:dyDescent="0.3">
      <c r="P423" t="s">
        <v>762</v>
      </c>
      <c r="Q423" t="s">
        <v>51</v>
      </c>
      <c r="R423" t="s">
        <v>50</v>
      </c>
      <c r="S423" t="s">
        <v>52</v>
      </c>
      <c r="T423" s="4">
        <v>595</v>
      </c>
    </row>
    <row r="424" spans="16:20" x14ac:dyDescent="0.3">
      <c r="P424" t="s">
        <v>764</v>
      </c>
      <c r="Q424" t="s">
        <v>109</v>
      </c>
      <c r="R424" t="s">
        <v>78</v>
      </c>
      <c r="S424" t="s">
        <v>52</v>
      </c>
      <c r="T424" s="4">
        <v>2325</v>
      </c>
    </row>
    <row r="425" spans="16:20" x14ac:dyDescent="0.3">
      <c r="P425" t="s">
        <v>765</v>
      </c>
      <c r="Q425" t="s">
        <v>46</v>
      </c>
      <c r="R425" t="s">
        <v>68</v>
      </c>
      <c r="S425" t="s">
        <v>42</v>
      </c>
      <c r="T425" s="4">
        <v>26803</v>
      </c>
    </row>
    <row r="426" spans="16:20" x14ac:dyDescent="0.3">
      <c r="P426" t="s">
        <v>766</v>
      </c>
      <c r="Q426" t="s">
        <v>59</v>
      </c>
      <c r="R426" t="s">
        <v>58</v>
      </c>
      <c r="S426" t="s">
        <v>26</v>
      </c>
      <c r="T426" s="4">
        <v>36040</v>
      </c>
    </row>
    <row r="427" spans="16:20" x14ac:dyDescent="0.3">
      <c r="P427" t="s">
        <v>767</v>
      </c>
      <c r="Q427" t="s">
        <v>165</v>
      </c>
      <c r="R427" t="s">
        <v>129</v>
      </c>
      <c r="S427" t="s">
        <v>35</v>
      </c>
      <c r="T427" s="4">
        <v>56403</v>
      </c>
    </row>
    <row r="428" spans="16:20" x14ac:dyDescent="0.3">
      <c r="P428" t="s">
        <v>768</v>
      </c>
      <c r="Q428" t="s">
        <v>147</v>
      </c>
      <c r="R428" t="s">
        <v>75</v>
      </c>
      <c r="S428" t="s">
        <v>52</v>
      </c>
      <c r="T428" s="4">
        <v>2276</v>
      </c>
    </row>
    <row r="429" spans="16:20" x14ac:dyDescent="0.3">
      <c r="P429" t="s">
        <v>769</v>
      </c>
      <c r="Q429" t="s">
        <v>79</v>
      </c>
      <c r="R429" t="s">
        <v>133</v>
      </c>
      <c r="S429" t="s">
        <v>26</v>
      </c>
      <c r="T429" s="4">
        <v>33795</v>
      </c>
    </row>
    <row r="430" spans="16:20" x14ac:dyDescent="0.3">
      <c r="P430" t="s">
        <v>770</v>
      </c>
      <c r="Q430" t="s">
        <v>147</v>
      </c>
      <c r="R430" t="s">
        <v>24</v>
      </c>
      <c r="S430" t="s">
        <v>52</v>
      </c>
      <c r="T430" s="4">
        <v>1841</v>
      </c>
    </row>
    <row r="431" spans="16:20" x14ac:dyDescent="0.3">
      <c r="P431" t="s">
        <v>771</v>
      </c>
      <c r="Q431" t="s">
        <v>51</v>
      </c>
      <c r="R431" t="s">
        <v>146</v>
      </c>
      <c r="S431" t="s">
        <v>52</v>
      </c>
      <c r="T431" s="4">
        <v>6712</v>
      </c>
    </row>
    <row r="432" spans="16:20" x14ac:dyDescent="0.3">
      <c r="P432" t="s">
        <v>772</v>
      </c>
      <c r="Q432" t="s">
        <v>16</v>
      </c>
      <c r="R432" t="s">
        <v>50</v>
      </c>
      <c r="S432" t="s">
        <v>17</v>
      </c>
      <c r="T432" s="4">
        <v>6065</v>
      </c>
    </row>
    <row r="433" spans="16:20" x14ac:dyDescent="0.3">
      <c r="P433" t="s">
        <v>773</v>
      </c>
      <c r="Q433" t="s">
        <v>41</v>
      </c>
      <c r="R433" t="s">
        <v>125</v>
      </c>
      <c r="S433" t="s">
        <v>42</v>
      </c>
      <c r="T433" s="4">
        <v>10192</v>
      </c>
    </row>
    <row r="434" spans="16:20" x14ac:dyDescent="0.3">
      <c r="P434" t="s">
        <v>774</v>
      </c>
      <c r="Q434" t="s">
        <v>97</v>
      </c>
      <c r="R434" t="s">
        <v>179</v>
      </c>
      <c r="S434" t="s">
        <v>35</v>
      </c>
      <c r="T434" s="4">
        <v>94144</v>
      </c>
    </row>
    <row r="435" spans="16:20" x14ac:dyDescent="0.3">
      <c r="P435" t="s">
        <v>775</v>
      </c>
      <c r="Q435" t="s">
        <v>109</v>
      </c>
      <c r="R435" t="s">
        <v>72</v>
      </c>
      <c r="S435" t="s">
        <v>52</v>
      </c>
      <c r="T435" s="4">
        <v>12047</v>
      </c>
    </row>
    <row r="436" spans="16:20" x14ac:dyDescent="0.3">
      <c r="P436" t="s">
        <v>776</v>
      </c>
      <c r="Q436" t="s">
        <v>79</v>
      </c>
      <c r="R436" t="s">
        <v>15</v>
      </c>
      <c r="S436" t="s">
        <v>26</v>
      </c>
      <c r="T436" s="4">
        <v>66836</v>
      </c>
    </row>
    <row r="437" spans="16:20" x14ac:dyDescent="0.3">
      <c r="P437" t="s">
        <v>777</v>
      </c>
      <c r="Q437" t="s">
        <v>113</v>
      </c>
      <c r="R437" t="s">
        <v>75</v>
      </c>
      <c r="S437" t="s">
        <v>35</v>
      </c>
      <c r="T437" s="4">
        <v>125158</v>
      </c>
    </row>
    <row r="438" spans="16:20" x14ac:dyDescent="0.3">
      <c r="P438" t="s">
        <v>778</v>
      </c>
      <c r="Q438" t="s">
        <v>116</v>
      </c>
      <c r="R438" t="s">
        <v>68</v>
      </c>
      <c r="S438" t="s">
        <v>17</v>
      </c>
      <c r="T438" s="4">
        <v>797</v>
      </c>
    </row>
    <row r="439" spans="16:20" x14ac:dyDescent="0.3">
      <c r="P439" t="s">
        <v>779</v>
      </c>
      <c r="Q439" t="s">
        <v>16</v>
      </c>
      <c r="R439" t="s">
        <v>58</v>
      </c>
      <c r="S439" t="s">
        <v>17</v>
      </c>
      <c r="T439" s="4">
        <v>1716</v>
      </c>
    </row>
    <row r="440" spans="16:20" x14ac:dyDescent="0.3">
      <c r="P440" t="s">
        <v>780</v>
      </c>
      <c r="Q440" t="s">
        <v>147</v>
      </c>
      <c r="R440" t="s">
        <v>129</v>
      </c>
      <c r="S440" t="s">
        <v>52</v>
      </c>
      <c r="T440" s="4">
        <v>1524</v>
      </c>
    </row>
    <row r="441" spans="16:20" x14ac:dyDescent="0.3">
      <c r="P441" t="s">
        <v>781</v>
      </c>
      <c r="Q441" t="s">
        <v>147</v>
      </c>
      <c r="R441" t="s">
        <v>24</v>
      </c>
      <c r="S441" t="s">
        <v>52</v>
      </c>
      <c r="T441" s="4">
        <v>3580</v>
      </c>
    </row>
    <row r="442" spans="16:20" x14ac:dyDescent="0.3">
      <c r="P442" t="s">
        <v>782</v>
      </c>
      <c r="Q442" t="s">
        <v>159</v>
      </c>
      <c r="R442" t="s">
        <v>45</v>
      </c>
      <c r="S442" t="s">
        <v>42</v>
      </c>
      <c r="T442" s="4">
        <v>13167</v>
      </c>
    </row>
    <row r="443" spans="16:20" x14ac:dyDescent="0.3">
      <c r="P443" t="s">
        <v>783</v>
      </c>
      <c r="Q443" t="s">
        <v>41</v>
      </c>
      <c r="R443" t="s">
        <v>45</v>
      </c>
      <c r="S443" t="s">
        <v>42</v>
      </c>
      <c r="T443" s="4">
        <v>26340</v>
      </c>
    </row>
    <row r="444" spans="16:20" x14ac:dyDescent="0.3">
      <c r="P444" t="s">
        <v>785</v>
      </c>
      <c r="Q444" t="s">
        <v>109</v>
      </c>
      <c r="R444" t="s">
        <v>33</v>
      </c>
      <c r="S444" t="s">
        <v>52</v>
      </c>
      <c r="T444" s="4">
        <v>3444</v>
      </c>
    </row>
    <row r="445" spans="16:20" x14ac:dyDescent="0.3">
      <c r="P445" t="s">
        <v>786</v>
      </c>
      <c r="Q445" t="s">
        <v>51</v>
      </c>
      <c r="R445" t="s">
        <v>24</v>
      </c>
      <c r="S445" t="s">
        <v>52</v>
      </c>
      <c r="T445" s="4">
        <v>12636</v>
      </c>
    </row>
    <row r="446" spans="16:20" x14ac:dyDescent="0.3">
      <c r="P446" t="s">
        <v>787</v>
      </c>
      <c r="Q446" t="s">
        <v>86</v>
      </c>
      <c r="R446" t="s">
        <v>122</v>
      </c>
      <c r="S446" t="s">
        <v>17</v>
      </c>
      <c r="T446" s="4">
        <v>6948</v>
      </c>
    </row>
    <row r="447" spans="16:20" x14ac:dyDescent="0.3">
      <c r="P447" t="s">
        <v>788</v>
      </c>
      <c r="Q447" t="s">
        <v>159</v>
      </c>
      <c r="R447" t="s">
        <v>24</v>
      </c>
      <c r="S447" t="s">
        <v>42</v>
      </c>
      <c r="T447" s="4">
        <v>34160</v>
      </c>
    </row>
    <row r="448" spans="16:20" x14ac:dyDescent="0.3">
      <c r="P448" t="s">
        <v>789</v>
      </c>
      <c r="Q448" t="s">
        <v>159</v>
      </c>
      <c r="R448" t="s">
        <v>103</v>
      </c>
      <c r="S448" t="s">
        <v>42</v>
      </c>
      <c r="T448" s="4">
        <v>10452</v>
      </c>
    </row>
    <row r="449" spans="16:20" x14ac:dyDescent="0.3">
      <c r="P449" t="s">
        <v>791</v>
      </c>
      <c r="Q449" t="s">
        <v>90</v>
      </c>
      <c r="R449" t="s">
        <v>58</v>
      </c>
      <c r="S449" t="s">
        <v>42</v>
      </c>
      <c r="T449" s="4">
        <v>11904</v>
      </c>
    </row>
    <row r="450" spans="16:20" x14ac:dyDescent="0.3">
      <c r="P450" t="s">
        <v>792</v>
      </c>
      <c r="Q450" t="s">
        <v>90</v>
      </c>
      <c r="R450" t="s">
        <v>58</v>
      </c>
      <c r="S450" t="s">
        <v>42</v>
      </c>
      <c r="T450" s="4">
        <v>33656</v>
      </c>
    </row>
    <row r="451" spans="16:20" x14ac:dyDescent="0.3">
      <c r="P451" t="s">
        <v>793</v>
      </c>
      <c r="Q451" t="s">
        <v>41</v>
      </c>
      <c r="R451" t="s">
        <v>146</v>
      </c>
      <c r="S451" t="s">
        <v>42</v>
      </c>
      <c r="T451" s="4">
        <v>40400</v>
      </c>
    </row>
    <row r="452" spans="16:20" x14ac:dyDescent="0.3">
      <c r="P452" t="s">
        <v>794</v>
      </c>
      <c r="Q452" t="s">
        <v>25</v>
      </c>
      <c r="R452" t="s">
        <v>15</v>
      </c>
      <c r="S452" t="s">
        <v>26</v>
      </c>
      <c r="T452" s="4">
        <v>33012</v>
      </c>
    </row>
    <row r="453" spans="16:20" x14ac:dyDescent="0.3">
      <c r="P453" t="s">
        <v>795</v>
      </c>
      <c r="Q453" t="s">
        <v>41</v>
      </c>
      <c r="R453" t="s">
        <v>75</v>
      </c>
      <c r="S453" t="s">
        <v>42</v>
      </c>
      <c r="T453" s="4">
        <v>29872</v>
      </c>
    </row>
    <row r="454" spans="16:20" x14ac:dyDescent="0.3">
      <c r="P454" t="s">
        <v>796</v>
      </c>
      <c r="Q454" t="s">
        <v>97</v>
      </c>
      <c r="R454" t="s">
        <v>33</v>
      </c>
      <c r="S454" t="s">
        <v>35</v>
      </c>
      <c r="T454" s="4">
        <v>335296</v>
      </c>
    </row>
    <row r="455" spans="16:20" x14ac:dyDescent="0.3">
      <c r="P455" t="s">
        <v>798</v>
      </c>
      <c r="Q455" t="s">
        <v>41</v>
      </c>
      <c r="R455" t="s">
        <v>78</v>
      </c>
      <c r="S455" t="s">
        <v>42</v>
      </c>
      <c r="T455" s="4">
        <v>14262</v>
      </c>
    </row>
    <row r="456" spans="16:20" x14ac:dyDescent="0.3">
      <c r="P456" t="s">
        <v>800</v>
      </c>
      <c r="Q456" t="s">
        <v>109</v>
      </c>
      <c r="R456" t="s">
        <v>125</v>
      </c>
      <c r="S456" t="s">
        <v>52</v>
      </c>
      <c r="T456" s="4">
        <v>9910</v>
      </c>
    </row>
    <row r="457" spans="16:20" x14ac:dyDescent="0.3">
      <c r="P457" t="s">
        <v>801</v>
      </c>
      <c r="Q457" t="s">
        <v>59</v>
      </c>
      <c r="R457" t="s">
        <v>40</v>
      </c>
      <c r="S457" t="s">
        <v>26</v>
      </c>
      <c r="T457" s="4">
        <v>13380</v>
      </c>
    </row>
    <row r="458" spans="16:20" x14ac:dyDescent="0.3">
      <c r="P458" t="s">
        <v>803</v>
      </c>
      <c r="Q458" t="s">
        <v>113</v>
      </c>
      <c r="R458" t="s">
        <v>78</v>
      </c>
      <c r="S458" t="s">
        <v>35</v>
      </c>
      <c r="T458" s="4">
        <v>87816</v>
      </c>
    </row>
    <row r="459" spans="16:20" x14ac:dyDescent="0.3">
      <c r="P459" t="s">
        <v>804</v>
      </c>
      <c r="Q459" t="s">
        <v>90</v>
      </c>
      <c r="R459" t="s">
        <v>133</v>
      </c>
      <c r="S459" t="s">
        <v>42</v>
      </c>
      <c r="T459" s="4">
        <v>880</v>
      </c>
    </row>
    <row r="460" spans="16:20" x14ac:dyDescent="0.3">
      <c r="P460" t="s">
        <v>806</v>
      </c>
      <c r="Q460" t="s">
        <v>90</v>
      </c>
      <c r="R460" t="s">
        <v>40</v>
      </c>
      <c r="S460" t="s">
        <v>42</v>
      </c>
      <c r="T460" s="4">
        <v>10530</v>
      </c>
    </row>
    <row r="461" spans="16:20" x14ac:dyDescent="0.3">
      <c r="P461" t="s">
        <v>807</v>
      </c>
      <c r="Q461" t="s">
        <v>97</v>
      </c>
      <c r="R461" t="s">
        <v>24</v>
      </c>
      <c r="S461" t="s">
        <v>35</v>
      </c>
      <c r="T461" s="4">
        <v>119661</v>
      </c>
    </row>
    <row r="462" spans="16:20" x14ac:dyDescent="0.3">
      <c r="P462" t="s">
        <v>808</v>
      </c>
      <c r="Q462" t="s">
        <v>165</v>
      </c>
      <c r="R462" t="s">
        <v>129</v>
      </c>
      <c r="S462" t="s">
        <v>35</v>
      </c>
      <c r="T462" s="4">
        <v>213456</v>
      </c>
    </row>
    <row r="463" spans="16:20" x14ac:dyDescent="0.3">
      <c r="P463" t="s">
        <v>809</v>
      </c>
      <c r="Q463" t="s">
        <v>79</v>
      </c>
      <c r="R463" t="s">
        <v>72</v>
      </c>
      <c r="S463" t="s">
        <v>26</v>
      </c>
      <c r="T463" s="4">
        <v>15905</v>
      </c>
    </row>
    <row r="464" spans="16:20" x14ac:dyDescent="0.3">
      <c r="P464" t="s">
        <v>811</v>
      </c>
      <c r="Q464" t="s">
        <v>46</v>
      </c>
      <c r="R464" t="s">
        <v>78</v>
      </c>
      <c r="S464" t="s">
        <v>42</v>
      </c>
      <c r="T464" s="4">
        <v>4860</v>
      </c>
    </row>
    <row r="465" spans="16:20" x14ac:dyDescent="0.3">
      <c r="P465" t="s">
        <v>812</v>
      </c>
      <c r="Q465" t="s">
        <v>159</v>
      </c>
      <c r="R465" t="s">
        <v>103</v>
      </c>
      <c r="S465" t="s">
        <v>42</v>
      </c>
      <c r="T465" s="4">
        <v>34086</v>
      </c>
    </row>
    <row r="466" spans="16:20" x14ac:dyDescent="0.3">
      <c r="P466" t="s">
        <v>813</v>
      </c>
      <c r="Q466" t="s">
        <v>69</v>
      </c>
      <c r="R466" t="s">
        <v>129</v>
      </c>
      <c r="S466" t="s">
        <v>26</v>
      </c>
      <c r="T466" s="4">
        <v>12012</v>
      </c>
    </row>
    <row r="467" spans="16:20" x14ac:dyDescent="0.3">
      <c r="P467" t="s">
        <v>814</v>
      </c>
      <c r="Q467" t="s">
        <v>97</v>
      </c>
      <c r="R467" t="s">
        <v>179</v>
      </c>
      <c r="S467" t="s">
        <v>35</v>
      </c>
      <c r="T467" s="4">
        <v>48552</v>
      </c>
    </row>
    <row r="468" spans="16:20" x14ac:dyDescent="0.3">
      <c r="P468" t="s">
        <v>815</v>
      </c>
      <c r="Q468" t="s">
        <v>46</v>
      </c>
      <c r="R468" t="s">
        <v>40</v>
      </c>
      <c r="S468" t="s">
        <v>42</v>
      </c>
      <c r="T468" s="4">
        <v>38570</v>
      </c>
    </row>
    <row r="469" spans="16:20" x14ac:dyDescent="0.3">
      <c r="P469" t="s">
        <v>816</v>
      </c>
      <c r="Q469" t="s">
        <v>69</v>
      </c>
      <c r="R469" t="s">
        <v>179</v>
      </c>
      <c r="S469" t="s">
        <v>26</v>
      </c>
      <c r="T469" s="4">
        <v>9906</v>
      </c>
    </row>
    <row r="470" spans="16:20" x14ac:dyDescent="0.3">
      <c r="P470" t="s">
        <v>817</v>
      </c>
      <c r="Q470" t="s">
        <v>69</v>
      </c>
      <c r="R470" t="s">
        <v>72</v>
      </c>
      <c r="S470" t="s">
        <v>26</v>
      </c>
      <c r="T470" s="4">
        <v>41965</v>
      </c>
    </row>
    <row r="471" spans="16:20" x14ac:dyDescent="0.3">
      <c r="P471" t="s">
        <v>818</v>
      </c>
      <c r="Q471" t="s">
        <v>218</v>
      </c>
      <c r="R471" t="s">
        <v>45</v>
      </c>
      <c r="S471" t="s">
        <v>17</v>
      </c>
      <c r="T471" s="4">
        <v>3921</v>
      </c>
    </row>
    <row r="472" spans="16:20" x14ac:dyDescent="0.3">
      <c r="P472" t="s">
        <v>819</v>
      </c>
      <c r="Q472" t="s">
        <v>69</v>
      </c>
      <c r="R472" t="s">
        <v>24</v>
      </c>
      <c r="S472" t="s">
        <v>26</v>
      </c>
      <c r="T472" s="4">
        <v>81800</v>
      </c>
    </row>
    <row r="473" spans="16:20" x14ac:dyDescent="0.3">
      <c r="P473" t="s">
        <v>820</v>
      </c>
      <c r="Q473" t="s">
        <v>97</v>
      </c>
      <c r="R473" t="s">
        <v>33</v>
      </c>
      <c r="S473" t="s">
        <v>35</v>
      </c>
      <c r="T473" s="4">
        <v>28296</v>
      </c>
    </row>
    <row r="474" spans="16:20" x14ac:dyDescent="0.3">
      <c r="P474" t="s">
        <v>821</v>
      </c>
      <c r="Q474" t="s">
        <v>79</v>
      </c>
      <c r="R474" t="s">
        <v>103</v>
      </c>
      <c r="S474" t="s">
        <v>26</v>
      </c>
      <c r="T474" s="4">
        <v>17940</v>
      </c>
    </row>
    <row r="475" spans="16:20" x14ac:dyDescent="0.3">
      <c r="P475" t="s">
        <v>822</v>
      </c>
      <c r="Q475" t="s">
        <v>59</v>
      </c>
      <c r="R475" t="s">
        <v>68</v>
      </c>
      <c r="S475" t="s">
        <v>26</v>
      </c>
      <c r="T475" s="4">
        <v>8744</v>
      </c>
    </row>
    <row r="476" spans="16:20" x14ac:dyDescent="0.3">
      <c r="P476" t="s">
        <v>823</v>
      </c>
      <c r="Q476" t="s">
        <v>147</v>
      </c>
      <c r="R476" t="s">
        <v>72</v>
      </c>
      <c r="S476" t="s">
        <v>52</v>
      </c>
      <c r="T476" s="4">
        <v>5816</v>
      </c>
    </row>
    <row r="477" spans="16:20" x14ac:dyDescent="0.3">
      <c r="P477" t="s">
        <v>824</v>
      </c>
      <c r="Q477" t="s">
        <v>113</v>
      </c>
      <c r="R477" t="s">
        <v>133</v>
      </c>
      <c r="S477" t="s">
        <v>35</v>
      </c>
      <c r="T477" s="4">
        <v>128788</v>
      </c>
    </row>
    <row r="478" spans="16:20" x14ac:dyDescent="0.3">
      <c r="P478" t="s">
        <v>826</v>
      </c>
      <c r="Q478" t="s">
        <v>116</v>
      </c>
      <c r="R478" t="s">
        <v>103</v>
      </c>
      <c r="S478" t="s">
        <v>17</v>
      </c>
      <c r="T478" s="4">
        <v>702</v>
      </c>
    </row>
    <row r="479" spans="16:20" x14ac:dyDescent="0.3">
      <c r="P479" t="s">
        <v>827</v>
      </c>
      <c r="Q479" t="s">
        <v>16</v>
      </c>
      <c r="R479" t="s">
        <v>58</v>
      </c>
      <c r="S479" t="s">
        <v>17</v>
      </c>
      <c r="T479" s="4">
        <v>6012</v>
      </c>
    </row>
    <row r="480" spans="16:20" x14ac:dyDescent="0.3">
      <c r="P480" t="s">
        <v>828</v>
      </c>
      <c r="Q480" t="s">
        <v>79</v>
      </c>
      <c r="R480" t="s">
        <v>78</v>
      </c>
      <c r="S480" t="s">
        <v>26</v>
      </c>
      <c r="T480" s="4">
        <v>7876</v>
      </c>
    </row>
    <row r="481" spans="16:20" x14ac:dyDescent="0.3">
      <c r="P481" t="s">
        <v>830</v>
      </c>
      <c r="Q481" t="s">
        <v>69</v>
      </c>
      <c r="R481" t="s">
        <v>133</v>
      </c>
      <c r="S481" t="s">
        <v>26</v>
      </c>
      <c r="T481" s="4">
        <v>21057</v>
      </c>
    </row>
    <row r="482" spans="16:20" x14ac:dyDescent="0.3">
      <c r="P482" t="s">
        <v>831</v>
      </c>
      <c r="Q482" t="s">
        <v>41</v>
      </c>
      <c r="R482" t="s">
        <v>68</v>
      </c>
      <c r="S482" t="s">
        <v>42</v>
      </c>
      <c r="T482" s="4">
        <v>15792</v>
      </c>
    </row>
    <row r="483" spans="16:20" x14ac:dyDescent="0.3">
      <c r="P483" t="s">
        <v>832</v>
      </c>
      <c r="Q483" t="s">
        <v>59</v>
      </c>
      <c r="R483" t="s">
        <v>129</v>
      </c>
      <c r="S483" t="s">
        <v>26</v>
      </c>
      <c r="T483" s="4">
        <v>31144</v>
      </c>
    </row>
    <row r="484" spans="16:20" x14ac:dyDescent="0.3">
      <c r="P484" t="s">
        <v>834</v>
      </c>
      <c r="Q484" t="s">
        <v>116</v>
      </c>
      <c r="R484" t="s">
        <v>75</v>
      </c>
      <c r="S484" t="s">
        <v>17</v>
      </c>
      <c r="T484" s="4">
        <v>1088</v>
      </c>
    </row>
    <row r="485" spans="16:20" x14ac:dyDescent="0.3">
      <c r="P485" t="s">
        <v>835</v>
      </c>
      <c r="Q485" t="s">
        <v>51</v>
      </c>
      <c r="R485" t="s">
        <v>129</v>
      </c>
      <c r="S485" t="s">
        <v>52</v>
      </c>
      <c r="T485" s="4">
        <v>9176</v>
      </c>
    </row>
    <row r="486" spans="16:20" x14ac:dyDescent="0.3">
      <c r="P486" t="s">
        <v>836</v>
      </c>
      <c r="Q486" t="s">
        <v>59</v>
      </c>
      <c r="R486" t="s">
        <v>15</v>
      </c>
      <c r="S486" t="s">
        <v>26</v>
      </c>
      <c r="T486" s="4">
        <v>71576</v>
      </c>
    </row>
    <row r="487" spans="16:20" x14ac:dyDescent="0.3">
      <c r="P487" t="s">
        <v>838</v>
      </c>
      <c r="Q487" t="s">
        <v>41</v>
      </c>
      <c r="R487" t="s">
        <v>112</v>
      </c>
      <c r="S487" t="s">
        <v>42</v>
      </c>
      <c r="T487" s="4">
        <v>22260</v>
      </c>
    </row>
    <row r="488" spans="16:20" x14ac:dyDescent="0.3">
      <c r="P488" t="s">
        <v>839</v>
      </c>
      <c r="Q488" t="s">
        <v>97</v>
      </c>
      <c r="R488" t="s">
        <v>133</v>
      </c>
      <c r="S488" t="s">
        <v>35</v>
      </c>
      <c r="T488" s="4">
        <v>366740</v>
      </c>
    </row>
    <row r="489" spans="16:20" x14ac:dyDescent="0.3">
      <c r="P489" t="s">
        <v>840</v>
      </c>
      <c r="Q489" t="s">
        <v>97</v>
      </c>
      <c r="R489" t="s">
        <v>24</v>
      </c>
      <c r="S489" t="s">
        <v>35</v>
      </c>
      <c r="T489" s="4">
        <v>205456</v>
      </c>
    </row>
    <row r="490" spans="16:20" x14ac:dyDescent="0.3">
      <c r="P490" t="s">
        <v>842</v>
      </c>
      <c r="Q490" t="s">
        <v>97</v>
      </c>
      <c r="R490" t="s">
        <v>112</v>
      </c>
      <c r="S490" t="s">
        <v>35</v>
      </c>
      <c r="T490" s="4">
        <v>150170</v>
      </c>
    </row>
    <row r="491" spans="16:20" x14ac:dyDescent="0.3">
      <c r="P491" t="s">
        <v>844</v>
      </c>
      <c r="Q491" t="s">
        <v>90</v>
      </c>
      <c r="R491" t="s">
        <v>129</v>
      </c>
      <c r="S491" t="s">
        <v>42</v>
      </c>
      <c r="T491" s="4">
        <v>5580</v>
      </c>
    </row>
    <row r="492" spans="16:20" x14ac:dyDescent="0.3">
      <c r="P492" t="s">
        <v>845</v>
      </c>
      <c r="Q492" t="s">
        <v>41</v>
      </c>
      <c r="R492" t="s">
        <v>40</v>
      </c>
      <c r="S492" t="s">
        <v>42</v>
      </c>
      <c r="T492" s="4">
        <v>6972</v>
      </c>
    </row>
    <row r="493" spans="16:20" x14ac:dyDescent="0.3">
      <c r="P493" t="s">
        <v>847</v>
      </c>
      <c r="Q493" t="s">
        <v>113</v>
      </c>
      <c r="R493" t="s">
        <v>58</v>
      </c>
      <c r="S493" t="s">
        <v>35</v>
      </c>
      <c r="T493" s="4">
        <v>135732</v>
      </c>
    </row>
    <row r="494" spans="16:20" x14ac:dyDescent="0.3">
      <c r="P494" t="s">
        <v>848</v>
      </c>
      <c r="Q494" t="s">
        <v>116</v>
      </c>
      <c r="R494" t="s">
        <v>68</v>
      </c>
      <c r="S494" t="s">
        <v>17</v>
      </c>
      <c r="T494" s="4">
        <v>948</v>
      </c>
    </row>
    <row r="495" spans="16:20" x14ac:dyDescent="0.3">
      <c r="P495" t="s">
        <v>849</v>
      </c>
      <c r="Q495" t="s">
        <v>46</v>
      </c>
      <c r="R495" t="s">
        <v>78</v>
      </c>
      <c r="S495" t="s">
        <v>42</v>
      </c>
      <c r="T495" s="4">
        <v>23855</v>
      </c>
    </row>
    <row r="496" spans="16:20" x14ac:dyDescent="0.3">
      <c r="P496" t="s">
        <v>850</v>
      </c>
      <c r="Q496" t="s">
        <v>218</v>
      </c>
      <c r="R496" t="s">
        <v>58</v>
      </c>
      <c r="S496" t="s">
        <v>17</v>
      </c>
      <c r="T496" s="4">
        <v>5334</v>
      </c>
    </row>
    <row r="497" spans="16:20" x14ac:dyDescent="0.3">
      <c r="P497" t="s">
        <v>851</v>
      </c>
      <c r="Q497" t="s">
        <v>109</v>
      </c>
      <c r="R497" t="s">
        <v>103</v>
      </c>
      <c r="S497" t="s">
        <v>52</v>
      </c>
      <c r="T497" s="4">
        <v>7390</v>
      </c>
    </row>
    <row r="498" spans="16:20" x14ac:dyDescent="0.3">
      <c r="P498" t="s">
        <v>852</v>
      </c>
      <c r="Q498" t="s">
        <v>86</v>
      </c>
      <c r="R498" t="s">
        <v>58</v>
      </c>
      <c r="S498" t="s">
        <v>17</v>
      </c>
      <c r="T498" s="4">
        <v>5888</v>
      </c>
    </row>
    <row r="499" spans="16:20" x14ac:dyDescent="0.3">
      <c r="P499" t="s">
        <v>853</v>
      </c>
      <c r="Q499" t="s">
        <v>97</v>
      </c>
      <c r="R499" t="s">
        <v>179</v>
      </c>
      <c r="S499" t="s">
        <v>35</v>
      </c>
      <c r="T499" s="4">
        <v>238268</v>
      </c>
    </row>
    <row r="500" spans="16:20" x14ac:dyDescent="0.3">
      <c r="P500" t="s">
        <v>854</v>
      </c>
      <c r="Q500" t="s">
        <v>109</v>
      </c>
      <c r="R500" t="s">
        <v>146</v>
      </c>
      <c r="S500" t="s">
        <v>52</v>
      </c>
      <c r="T500" s="4">
        <v>4904</v>
      </c>
    </row>
    <row r="501" spans="16:20" x14ac:dyDescent="0.3">
      <c r="P501" t="s">
        <v>855</v>
      </c>
      <c r="Q501" t="s">
        <v>86</v>
      </c>
      <c r="R501" t="s">
        <v>125</v>
      </c>
      <c r="S501" t="s">
        <v>17</v>
      </c>
      <c r="T501" s="4">
        <v>2895</v>
      </c>
    </row>
    <row r="502" spans="16:20" x14ac:dyDescent="0.3">
      <c r="P502" t="s">
        <v>856</v>
      </c>
      <c r="Q502" t="s">
        <v>165</v>
      </c>
      <c r="R502" t="s">
        <v>112</v>
      </c>
      <c r="S502" t="s">
        <v>35</v>
      </c>
      <c r="T502" s="4">
        <v>28672</v>
      </c>
    </row>
    <row r="503" spans="16:20" x14ac:dyDescent="0.3">
      <c r="P503" t="s">
        <v>857</v>
      </c>
      <c r="Q503" t="s">
        <v>86</v>
      </c>
      <c r="R503" t="s">
        <v>72</v>
      </c>
      <c r="S503" t="s">
        <v>17</v>
      </c>
      <c r="T503" s="4">
        <v>1882</v>
      </c>
    </row>
    <row r="504" spans="16:20" x14ac:dyDescent="0.3">
      <c r="P504" t="s">
        <v>858</v>
      </c>
      <c r="Q504" t="s">
        <v>97</v>
      </c>
      <c r="R504" t="s">
        <v>170</v>
      </c>
      <c r="S504" t="s">
        <v>35</v>
      </c>
      <c r="T504" s="4">
        <v>333860</v>
      </c>
    </row>
    <row r="505" spans="16:20" x14ac:dyDescent="0.3">
      <c r="P505" t="s">
        <v>867</v>
      </c>
      <c r="T505" s="4">
        <v>23006417</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CD63B-56DA-4B8D-B367-AEEFF7281DB6}">
  <dimension ref="A1:M501"/>
  <sheetViews>
    <sheetView topLeftCell="A2" workbookViewId="0">
      <selection activeCell="F12" sqref="F12"/>
    </sheetView>
  </sheetViews>
  <sheetFormatPr defaultRowHeight="14.4" x14ac:dyDescent="0.3"/>
  <cols>
    <col min="1" max="1" width="10" customWidth="1"/>
    <col min="2" max="2" width="10.33203125" bestFit="1" customWidth="1"/>
    <col min="3" max="3" width="16.44140625" customWidth="1"/>
    <col min="4" max="4" width="15.44140625" bestFit="1" customWidth="1"/>
    <col min="5" max="5" width="10" bestFit="1" customWidth="1"/>
    <col min="6" max="6" width="11.21875" bestFit="1" customWidth="1"/>
    <col min="7" max="7" width="10.33203125" bestFit="1" customWidth="1"/>
    <col min="8" max="8" width="16.6640625" customWidth="1"/>
    <col min="9" max="9" width="7.21875" customWidth="1"/>
    <col min="10" max="10" width="9.5546875" customWidth="1"/>
    <col min="11" max="11" width="7.88671875" customWidth="1"/>
    <col min="12" max="12" width="9.21875" customWidth="1"/>
    <col min="13" max="13" width="7.88671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t="s">
        <v>18</v>
      </c>
      <c r="G2" t="s">
        <v>19</v>
      </c>
      <c r="H2" t="s">
        <v>20</v>
      </c>
      <c r="I2">
        <v>3028</v>
      </c>
      <c r="J2">
        <v>4</v>
      </c>
      <c r="K2">
        <v>4.3</v>
      </c>
      <c r="L2">
        <v>1</v>
      </c>
      <c r="M2" t="s">
        <v>21</v>
      </c>
    </row>
    <row r="3" spans="1:13" x14ac:dyDescent="0.3">
      <c r="A3" t="s">
        <v>22</v>
      </c>
      <c r="B3" t="s">
        <v>23</v>
      </c>
      <c r="C3" t="s">
        <v>24</v>
      </c>
      <c r="D3" t="s">
        <v>25</v>
      </c>
      <c r="E3" t="s">
        <v>26</v>
      </c>
      <c r="F3" t="s">
        <v>27</v>
      </c>
      <c r="G3" t="s">
        <v>28</v>
      </c>
      <c r="H3" t="s">
        <v>29</v>
      </c>
      <c r="I3">
        <v>32636</v>
      </c>
      <c r="J3">
        <v>4</v>
      </c>
      <c r="K3">
        <v>4.3</v>
      </c>
      <c r="L3">
        <v>1</v>
      </c>
      <c r="M3" t="s">
        <v>30</v>
      </c>
    </row>
    <row r="4" spans="1:13" x14ac:dyDescent="0.3">
      <c r="A4" t="s">
        <v>31</v>
      </c>
      <c r="B4" t="s">
        <v>32</v>
      </c>
      <c r="C4" t="s">
        <v>33</v>
      </c>
      <c r="D4" t="s">
        <v>34</v>
      </c>
      <c r="E4" t="s">
        <v>35</v>
      </c>
      <c r="F4" t="s">
        <v>27</v>
      </c>
      <c r="G4" t="s">
        <v>28</v>
      </c>
      <c r="H4" t="s">
        <v>36</v>
      </c>
      <c r="I4">
        <v>313782</v>
      </c>
      <c r="J4">
        <v>6</v>
      </c>
      <c r="K4">
        <v>4.7</v>
      </c>
      <c r="L4">
        <v>5</v>
      </c>
      <c r="M4" t="s">
        <v>37</v>
      </c>
    </row>
    <row r="5" spans="1:13" x14ac:dyDescent="0.3">
      <c r="A5" t="s">
        <v>38</v>
      </c>
      <c r="B5" t="s">
        <v>39</v>
      </c>
      <c r="C5" t="s">
        <v>40</v>
      </c>
      <c r="D5" t="s">
        <v>41</v>
      </c>
      <c r="E5" t="s">
        <v>42</v>
      </c>
      <c r="F5" t="s">
        <v>18</v>
      </c>
      <c r="G5" t="s">
        <v>19</v>
      </c>
      <c r="H5" t="s">
        <v>36</v>
      </c>
      <c r="I5">
        <v>11375</v>
      </c>
      <c r="J5">
        <v>5</v>
      </c>
      <c r="K5">
        <v>3.3</v>
      </c>
      <c r="L5">
        <v>4</v>
      </c>
      <c r="M5" t="s">
        <v>30</v>
      </c>
    </row>
    <row r="6" spans="1:13" x14ac:dyDescent="0.3">
      <c r="A6" t="s">
        <v>43</v>
      </c>
      <c r="B6" t="s">
        <v>44</v>
      </c>
      <c r="C6" t="s">
        <v>45</v>
      </c>
      <c r="D6" t="s">
        <v>46</v>
      </c>
      <c r="E6" t="s">
        <v>42</v>
      </c>
      <c r="F6" t="s">
        <v>27</v>
      </c>
      <c r="G6" t="s">
        <v>19</v>
      </c>
      <c r="H6" t="s">
        <v>20</v>
      </c>
      <c r="I6">
        <v>14496</v>
      </c>
      <c r="J6">
        <v>6</v>
      </c>
      <c r="K6">
        <v>3.7</v>
      </c>
      <c r="L6">
        <v>2</v>
      </c>
      <c r="M6" t="s">
        <v>47</v>
      </c>
    </row>
    <row r="7" spans="1:13" x14ac:dyDescent="0.3">
      <c r="A7" t="s">
        <v>48</v>
      </c>
      <c r="B7" t="s">
        <v>49</v>
      </c>
      <c r="C7" t="s">
        <v>50</v>
      </c>
      <c r="D7" t="s">
        <v>51</v>
      </c>
      <c r="E7" t="s">
        <v>52</v>
      </c>
      <c r="F7" t="s">
        <v>53</v>
      </c>
      <c r="G7" t="s">
        <v>54</v>
      </c>
      <c r="H7" t="s">
        <v>20</v>
      </c>
      <c r="I7">
        <v>5745</v>
      </c>
      <c r="J7">
        <v>5</v>
      </c>
      <c r="K7">
        <v>4.7</v>
      </c>
      <c r="L7">
        <v>6</v>
      </c>
      <c r="M7" t="s">
        <v>55</v>
      </c>
    </row>
    <row r="8" spans="1:13" x14ac:dyDescent="0.3">
      <c r="A8" t="s">
        <v>56</v>
      </c>
      <c r="B8" t="s">
        <v>57</v>
      </c>
      <c r="C8" t="s">
        <v>58</v>
      </c>
      <c r="D8" t="s">
        <v>59</v>
      </c>
      <c r="E8" t="s">
        <v>26</v>
      </c>
      <c r="F8" t="s">
        <v>60</v>
      </c>
      <c r="G8" t="s">
        <v>28</v>
      </c>
      <c r="H8" t="s">
        <v>29</v>
      </c>
      <c r="I8">
        <v>24696</v>
      </c>
      <c r="J8">
        <v>8</v>
      </c>
      <c r="K8">
        <v>3.6</v>
      </c>
      <c r="L8">
        <v>5</v>
      </c>
      <c r="M8" t="s">
        <v>37</v>
      </c>
    </row>
    <row r="9" spans="1:13" x14ac:dyDescent="0.3">
      <c r="A9" t="s">
        <v>61</v>
      </c>
      <c r="B9" t="s">
        <v>62</v>
      </c>
      <c r="C9" t="s">
        <v>45</v>
      </c>
      <c r="D9" t="s">
        <v>63</v>
      </c>
      <c r="E9" t="s">
        <v>52</v>
      </c>
      <c r="F9" t="s">
        <v>18</v>
      </c>
      <c r="G9" t="s">
        <v>28</v>
      </c>
      <c r="H9" t="s">
        <v>64</v>
      </c>
      <c r="I9">
        <v>3536</v>
      </c>
      <c r="J9">
        <v>8</v>
      </c>
      <c r="K9">
        <v>3.5</v>
      </c>
      <c r="L9">
        <v>7</v>
      </c>
      <c r="M9" t="s">
        <v>65</v>
      </c>
    </row>
    <row r="10" spans="1:13" x14ac:dyDescent="0.3">
      <c r="A10" t="s">
        <v>66</v>
      </c>
      <c r="B10" t="s">
        <v>67</v>
      </c>
      <c r="C10" t="s">
        <v>68</v>
      </c>
      <c r="D10" t="s">
        <v>69</v>
      </c>
      <c r="E10" t="s">
        <v>26</v>
      </c>
      <c r="F10" t="s">
        <v>53</v>
      </c>
      <c r="G10" t="s">
        <v>28</v>
      </c>
      <c r="H10" t="s">
        <v>20</v>
      </c>
      <c r="I10">
        <v>25855</v>
      </c>
      <c r="J10">
        <v>5</v>
      </c>
      <c r="K10">
        <v>4.5999999999999996</v>
      </c>
      <c r="L10">
        <v>6</v>
      </c>
      <c r="M10" t="s">
        <v>65</v>
      </c>
    </row>
    <row r="11" spans="1:13" x14ac:dyDescent="0.3">
      <c r="A11" t="s">
        <v>70</v>
      </c>
      <c r="B11" t="s">
        <v>71</v>
      </c>
      <c r="C11" t="s">
        <v>72</v>
      </c>
      <c r="D11" t="s">
        <v>41</v>
      </c>
      <c r="E11" t="s">
        <v>42</v>
      </c>
      <c r="F11" t="s">
        <v>53</v>
      </c>
      <c r="G11" t="s">
        <v>19</v>
      </c>
      <c r="H11" t="s">
        <v>36</v>
      </c>
      <c r="I11">
        <v>9432</v>
      </c>
      <c r="J11">
        <v>3</v>
      </c>
      <c r="K11">
        <v>4.0999999999999996</v>
      </c>
      <c r="L11">
        <v>4</v>
      </c>
      <c r="M11" t="s">
        <v>21</v>
      </c>
    </row>
    <row r="12" spans="1:13" x14ac:dyDescent="0.3">
      <c r="A12" t="s">
        <v>73</v>
      </c>
      <c r="B12" t="s">
        <v>74</v>
      </c>
      <c r="C12" t="s">
        <v>75</v>
      </c>
      <c r="D12" t="s">
        <v>59</v>
      </c>
      <c r="E12" t="s">
        <v>26</v>
      </c>
      <c r="F12" t="s">
        <v>27</v>
      </c>
      <c r="G12" t="s">
        <v>28</v>
      </c>
      <c r="H12" t="s">
        <v>36</v>
      </c>
      <c r="I12">
        <v>1749</v>
      </c>
      <c r="J12">
        <v>1</v>
      </c>
      <c r="K12">
        <v>3.6</v>
      </c>
      <c r="L12">
        <v>2</v>
      </c>
      <c r="M12" t="s">
        <v>65</v>
      </c>
    </row>
    <row r="13" spans="1:13" x14ac:dyDescent="0.3">
      <c r="A13" t="s">
        <v>76</v>
      </c>
      <c r="B13" t="s">
        <v>77</v>
      </c>
      <c r="C13" t="s">
        <v>78</v>
      </c>
      <c r="D13" t="s">
        <v>79</v>
      </c>
      <c r="E13" t="s">
        <v>26</v>
      </c>
      <c r="F13" t="s">
        <v>27</v>
      </c>
      <c r="G13" t="s">
        <v>19</v>
      </c>
      <c r="H13" t="s">
        <v>29</v>
      </c>
      <c r="I13">
        <v>85904</v>
      </c>
      <c r="J13">
        <v>8</v>
      </c>
      <c r="K13">
        <v>4</v>
      </c>
      <c r="L13">
        <v>4</v>
      </c>
      <c r="M13" t="s">
        <v>80</v>
      </c>
    </row>
    <row r="14" spans="1:13" x14ac:dyDescent="0.3">
      <c r="A14" t="s">
        <v>81</v>
      </c>
      <c r="B14" t="s">
        <v>82</v>
      </c>
      <c r="C14" t="s">
        <v>58</v>
      </c>
      <c r="D14" t="s">
        <v>46</v>
      </c>
      <c r="E14" t="s">
        <v>42</v>
      </c>
      <c r="F14" t="s">
        <v>83</v>
      </c>
      <c r="G14" t="s">
        <v>54</v>
      </c>
      <c r="H14" t="s">
        <v>36</v>
      </c>
      <c r="I14">
        <v>9792</v>
      </c>
      <c r="J14">
        <v>8</v>
      </c>
      <c r="K14">
        <v>3.2</v>
      </c>
      <c r="L14">
        <v>4</v>
      </c>
      <c r="M14" t="s">
        <v>47</v>
      </c>
    </row>
    <row r="15" spans="1:13" x14ac:dyDescent="0.3">
      <c r="A15" t="s">
        <v>84</v>
      </c>
      <c r="B15" t="s">
        <v>85</v>
      </c>
      <c r="C15" t="s">
        <v>78</v>
      </c>
      <c r="D15" t="s">
        <v>86</v>
      </c>
      <c r="E15" t="s">
        <v>17</v>
      </c>
      <c r="F15" t="s">
        <v>83</v>
      </c>
      <c r="G15" t="s">
        <v>28</v>
      </c>
      <c r="H15" t="s">
        <v>20</v>
      </c>
      <c r="I15">
        <v>976</v>
      </c>
      <c r="J15">
        <v>1</v>
      </c>
      <c r="K15">
        <v>4.4000000000000004</v>
      </c>
      <c r="L15">
        <v>4</v>
      </c>
      <c r="M15" t="s">
        <v>87</v>
      </c>
    </row>
    <row r="16" spans="1:13" x14ac:dyDescent="0.3">
      <c r="A16" t="s">
        <v>88</v>
      </c>
      <c r="B16" t="s">
        <v>89</v>
      </c>
      <c r="C16" t="s">
        <v>68</v>
      </c>
      <c r="D16" t="s">
        <v>90</v>
      </c>
      <c r="E16" t="s">
        <v>42</v>
      </c>
      <c r="F16" t="s">
        <v>18</v>
      </c>
      <c r="G16" t="s">
        <v>28</v>
      </c>
      <c r="H16" t="s">
        <v>29</v>
      </c>
      <c r="I16">
        <v>8338</v>
      </c>
      <c r="J16">
        <v>2</v>
      </c>
      <c r="K16">
        <v>4</v>
      </c>
      <c r="L16">
        <v>1</v>
      </c>
      <c r="M16" t="s">
        <v>37</v>
      </c>
    </row>
    <row r="17" spans="1:13" x14ac:dyDescent="0.3">
      <c r="A17" t="s">
        <v>91</v>
      </c>
      <c r="B17" t="s">
        <v>92</v>
      </c>
      <c r="C17" t="s">
        <v>75</v>
      </c>
      <c r="D17" t="s">
        <v>86</v>
      </c>
      <c r="E17" t="s">
        <v>17</v>
      </c>
      <c r="F17" t="s">
        <v>60</v>
      </c>
      <c r="G17" t="s">
        <v>54</v>
      </c>
      <c r="H17" t="s">
        <v>36</v>
      </c>
      <c r="I17">
        <v>5592</v>
      </c>
      <c r="J17">
        <v>4</v>
      </c>
      <c r="K17">
        <v>3.7</v>
      </c>
      <c r="L17">
        <v>4</v>
      </c>
      <c r="M17" t="s">
        <v>37</v>
      </c>
    </row>
    <row r="18" spans="1:13" x14ac:dyDescent="0.3">
      <c r="A18" t="s">
        <v>93</v>
      </c>
      <c r="B18" t="s">
        <v>94</v>
      </c>
      <c r="C18" t="s">
        <v>24</v>
      </c>
      <c r="D18" t="s">
        <v>25</v>
      </c>
      <c r="E18" t="s">
        <v>26</v>
      </c>
      <c r="F18" t="s">
        <v>60</v>
      </c>
      <c r="G18" t="s">
        <v>54</v>
      </c>
      <c r="H18" t="s">
        <v>64</v>
      </c>
      <c r="I18">
        <v>17208</v>
      </c>
      <c r="J18">
        <v>4</v>
      </c>
      <c r="K18">
        <v>4.8</v>
      </c>
      <c r="L18">
        <v>1</v>
      </c>
      <c r="M18" t="s">
        <v>87</v>
      </c>
    </row>
    <row r="19" spans="1:13" x14ac:dyDescent="0.3">
      <c r="A19" t="s">
        <v>95</v>
      </c>
      <c r="B19" t="s">
        <v>96</v>
      </c>
      <c r="C19" t="s">
        <v>58</v>
      </c>
      <c r="D19" t="s">
        <v>97</v>
      </c>
      <c r="E19" t="s">
        <v>35</v>
      </c>
      <c r="F19" t="s">
        <v>27</v>
      </c>
      <c r="G19" t="s">
        <v>54</v>
      </c>
      <c r="H19" t="s">
        <v>29</v>
      </c>
      <c r="I19">
        <v>159523</v>
      </c>
      <c r="J19">
        <v>7</v>
      </c>
      <c r="K19">
        <v>3.6</v>
      </c>
      <c r="L19">
        <v>1</v>
      </c>
      <c r="M19" t="s">
        <v>21</v>
      </c>
    </row>
    <row r="20" spans="1:13" x14ac:dyDescent="0.3">
      <c r="A20" t="s">
        <v>98</v>
      </c>
      <c r="B20" t="s">
        <v>99</v>
      </c>
      <c r="C20" t="s">
        <v>75</v>
      </c>
      <c r="D20" t="s">
        <v>16</v>
      </c>
      <c r="E20" t="s">
        <v>17</v>
      </c>
      <c r="F20" t="s">
        <v>100</v>
      </c>
      <c r="G20" t="s">
        <v>54</v>
      </c>
      <c r="H20" t="s">
        <v>20</v>
      </c>
      <c r="I20">
        <v>10632</v>
      </c>
      <c r="J20">
        <v>8</v>
      </c>
      <c r="K20">
        <v>3.3</v>
      </c>
      <c r="L20">
        <v>3</v>
      </c>
      <c r="M20" t="s">
        <v>30</v>
      </c>
    </row>
    <row r="21" spans="1:13" x14ac:dyDescent="0.3">
      <c r="A21" t="s">
        <v>101</v>
      </c>
      <c r="B21" t="s">
        <v>102</v>
      </c>
      <c r="C21" t="s">
        <v>103</v>
      </c>
      <c r="D21" t="s">
        <v>41</v>
      </c>
      <c r="E21" t="s">
        <v>42</v>
      </c>
      <c r="F21" t="s">
        <v>100</v>
      </c>
      <c r="G21" t="s">
        <v>104</v>
      </c>
      <c r="H21" t="s">
        <v>20</v>
      </c>
      <c r="I21">
        <v>5484</v>
      </c>
      <c r="J21">
        <v>4</v>
      </c>
      <c r="K21">
        <v>4.4000000000000004</v>
      </c>
      <c r="L21">
        <v>6</v>
      </c>
      <c r="M21" t="s">
        <v>30</v>
      </c>
    </row>
    <row r="22" spans="1:13" x14ac:dyDescent="0.3">
      <c r="A22" t="s">
        <v>105</v>
      </c>
      <c r="B22" t="s">
        <v>106</v>
      </c>
      <c r="C22" t="s">
        <v>75</v>
      </c>
      <c r="D22" t="s">
        <v>97</v>
      </c>
      <c r="E22" t="s">
        <v>35</v>
      </c>
      <c r="F22" t="s">
        <v>100</v>
      </c>
      <c r="G22" t="s">
        <v>19</v>
      </c>
      <c r="H22" t="s">
        <v>29</v>
      </c>
      <c r="I22">
        <v>60040</v>
      </c>
      <c r="J22">
        <v>5</v>
      </c>
      <c r="K22">
        <v>4.3</v>
      </c>
      <c r="L22">
        <v>2</v>
      </c>
      <c r="M22" t="s">
        <v>80</v>
      </c>
    </row>
    <row r="23" spans="1:13" x14ac:dyDescent="0.3">
      <c r="A23" t="s">
        <v>107</v>
      </c>
      <c r="B23" t="s">
        <v>108</v>
      </c>
      <c r="C23" t="s">
        <v>78</v>
      </c>
      <c r="D23" t="s">
        <v>109</v>
      </c>
      <c r="E23" t="s">
        <v>52</v>
      </c>
      <c r="F23" t="s">
        <v>53</v>
      </c>
      <c r="G23" t="s">
        <v>54</v>
      </c>
      <c r="H23" t="s">
        <v>20</v>
      </c>
      <c r="I23">
        <v>5668</v>
      </c>
      <c r="J23">
        <v>4</v>
      </c>
      <c r="K23">
        <v>4.5</v>
      </c>
      <c r="L23">
        <v>1</v>
      </c>
      <c r="M23" t="s">
        <v>87</v>
      </c>
    </row>
    <row r="24" spans="1:13" x14ac:dyDescent="0.3">
      <c r="A24" t="s">
        <v>110</v>
      </c>
      <c r="B24" t="s">
        <v>111</v>
      </c>
      <c r="C24" t="s">
        <v>112</v>
      </c>
      <c r="D24" t="s">
        <v>113</v>
      </c>
      <c r="E24" t="s">
        <v>35</v>
      </c>
      <c r="F24" t="s">
        <v>60</v>
      </c>
      <c r="G24" t="s">
        <v>104</v>
      </c>
      <c r="H24" t="s">
        <v>36</v>
      </c>
      <c r="I24">
        <v>245328</v>
      </c>
      <c r="J24">
        <v>3</v>
      </c>
      <c r="K24">
        <v>3.6</v>
      </c>
      <c r="L24">
        <v>5</v>
      </c>
      <c r="M24" t="s">
        <v>87</v>
      </c>
    </row>
    <row r="25" spans="1:13" x14ac:dyDescent="0.3">
      <c r="A25" t="s">
        <v>114</v>
      </c>
      <c r="B25" t="s">
        <v>115</v>
      </c>
      <c r="C25" t="s">
        <v>78</v>
      </c>
      <c r="D25" t="s">
        <v>116</v>
      </c>
      <c r="E25" t="s">
        <v>17</v>
      </c>
      <c r="F25" t="s">
        <v>27</v>
      </c>
      <c r="G25" t="s">
        <v>28</v>
      </c>
      <c r="H25" t="s">
        <v>36</v>
      </c>
      <c r="I25">
        <v>307</v>
      </c>
      <c r="J25">
        <v>1</v>
      </c>
      <c r="K25">
        <v>3.5</v>
      </c>
      <c r="L25">
        <v>8</v>
      </c>
      <c r="M25" t="s">
        <v>21</v>
      </c>
    </row>
    <row r="26" spans="1:13" x14ac:dyDescent="0.3">
      <c r="A26" t="s">
        <v>117</v>
      </c>
      <c r="B26" t="s">
        <v>118</v>
      </c>
      <c r="C26" t="s">
        <v>33</v>
      </c>
      <c r="D26" t="s">
        <v>16</v>
      </c>
      <c r="E26" t="s">
        <v>17</v>
      </c>
      <c r="F26" t="s">
        <v>53</v>
      </c>
      <c r="G26" t="s">
        <v>104</v>
      </c>
      <c r="H26" t="s">
        <v>36</v>
      </c>
      <c r="I26">
        <v>4251</v>
      </c>
      <c r="J26">
        <v>3</v>
      </c>
      <c r="K26">
        <v>3.5</v>
      </c>
      <c r="L26">
        <v>3</v>
      </c>
      <c r="M26" t="s">
        <v>119</v>
      </c>
    </row>
    <row r="27" spans="1:13" x14ac:dyDescent="0.3">
      <c r="A27" t="s">
        <v>120</v>
      </c>
      <c r="B27" t="s">
        <v>121</v>
      </c>
      <c r="C27" t="s">
        <v>122</v>
      </c>
      <c r="D27" t="s">
        <v>34</v>
      </c>
      <c r="E27" t="s">
        <v>35</v>
      </c>
      <c r="F27" t="s">
        <v>83</v>
      </c>
      <c r="G27" t="s">
        <v>19</v>
      </c>
      <c r="H27" t="s">
        <v>64</v>
      </c>
      <c r="I27">
        <v>195428</v>
      </c>
      <c r="J27">
        <v>4</v>
      </c>
      <c r="K27">
        <v>5</v>
      </c>
      <c r="L27">
        <v>3</v>
      </c>
      <c r="M27" t="s">
        <v>119</v>
      </c>
    </row>
    <row r="28" spans="1:13" x14ac:dyDescent="0.3">
      <c r="A28" t="s">
        <v>123</v>
      </c>
      <c r="B28" t="s">
        <v>124</v>
      </c>
      <c r="C28" t="s">
        <v>125</v>
      </c>
      <c r="D28" t="s">
        <v>86</v>
      </c>
      <c r="E28" t="s">
        <v>17</v>
      </c>
      <c r="F28" t="s">
        <v>83</v>
      </c>
      <c r="G28" t="s">
        <v>19</v>
      </c>
      <c r="H28" t="s">
        <v>64</v>
      </c>
      <c r="I28">
        <v>11697</v>
      </c>
      <c r="J28">
        <v>7</v>
      </c>
      <c r="K28">
        <v>3.9</v>
      </c>
      <c r="L28">
        <v>1</v>
      </c>
      <c r="M28" t="s">
        <v>126</v>
      </c>
    </row>
    <row r="29" spans="1:13" x14ac:dyDescent="0.3">
      <c r="A29" t="s">
        <v>127</v>
      </c>
      <c r="B29" t="s">
        <v>128</v>
      </c>
      <c r="C29" t="s">
        <v>129</v>
      </c>
      <c r="D29" t="s">
        <v>130</v>
      </c>
      <c r="E29" t="s">
        <v>35</v>
      </c>
      <c r="F29" t="s">
        <v>27</v>
      </c>
      <c r="G29" t="s">
        <v>28</v>
      </c>
      <c r="H29" t="s">
        <v>29</v>
      </c>
      <c r="I29">
        <v>218908</v>
      </c>
      <c r="J29">
        <v>4</v>
      </c>
      <c r="K29">
        <v>4.8</v>
      </c>
      <c r="L29">
        <v>5</v>
      </c>
      <c r="M29" t="s">
        <v>37</v>
      </c>
    </row>
    <row r="30" spans="1:13" x14ac:dyDescent="0.3">
      <c r="A30" t="s">
        <v>131</v>
      </c>
      <c r="B30" t="s">
        <v>132</v>
      </c>
      <c r="C30" t="s">
        <v>133</v>
      </c>
      <c r="D30" t="s">
        <v>16</v>
      </c>
      <c r="E30" t="s">
        <v>17</v>
      </c>
      <c r="F30" t="s">
        <v>100</v>
      </c>
      <c r="G30" t="s">
        <v>54</v>
      </c>
      <c r="H30" t="s">
        <v>64</v>
      </c>
      <c r="I30">
        <v>4467</v>
      </c>
      <c r="J30">
        <v>3</v>
      </c>
      <c r="K30">
        <v>4</v>
      </c>
      <c r="L30">
        <v>6</v>
      </c>
      <c r="M30" t="s">
        <v>21</v>
      </c>
    </row>
    <row r="31" spans="1:13" x14ac:dyDescent="0.3">
      <c r="A31" t="s">
        <v>134</v>
      </c>
      <c r="B31" t="s">
        <v>135</v>
      </c>
      <c r="C31" t="s">
        <v>129</v>
      </c>
      <c r="D31" t="s">
        <v>79</v>
      </c>
      <c r="E31" t="s">
        <v>26</v>
      </c>
      <c r="F31" t="s">
        <v>60</v>
      </c>
      <c r="G31" t="s">
        <v>54</v>
      </c>
      <c r="H31" t="s">
        <v>29</v>
      </c>
      <c r="I31">
        <v>9621</v>
      </c>
      <c r="J31">
        <v>1</v>
      </c>
      <c r="K31">
        <v>4.4000000000000004</v>
      </c>
      <c r="L31">
        <v>4</v>
      </c>
      <c r="M31" t="s">
        <v>21</v>
      </c>
    </row>
    <row r="32" spans="1:13" x14ac:dyDescent="0.3">
      <c r="A32" t="s">
        <v>136</v>
      </c>
      <c r="B32" t="s">
        <v>137</v>
      </c>
      <c r="C32" t="s">
        <v>40</v>
      </c>
      <c r="D32" t="s">
        <v>59</v>
      </c>
      <c r="E32" t="s">
        <v>26</v>
      </c>
      <c r="F32" t="s">
        <v>100</v>
      </c>
      <c r="G32" t="s">
        <v>19</v>
      </c>
      <c r="H32" t="s">
        <v>20</v>
      </c>
      <c r="I32">
        <v>23452</v>
      </c>
      <c r="J32">
        <v>2</v>
      </c>
      <c r="K32">
        <v>3.9</v>
      </c>
      <c r="L32">
        <v>7</v>
      </c>
      <c r="M32" t="s">
        <v>119</v>
      </c>
    </row>
    <row r="33" spans="1:13" x14ac:dyDescent="0.3">
      <c r="A33" t="s">
        <v>138</v>
      </c>
      <c r="B33" t="s">
        <v>139</v>
      </c>
      <c r="C33" t="s">
        <v>133</v>
      </c>
      <c r="D33" t="s">
        <v>90</v>
      </c>
      <c r="E33" t="s">
        <v>42</v>
      </c>
      <c r="F33" t="s">
        <v>100</v>
      </c>
      <c r="G33" t="s">
        <v>104</v>
      </c>
      <c r="H33" t="s">
        <v>64</v>
      </c>
      <c r="I33">
        <v>15564</v>
      </c>
      <c r="J33">
        <v>3</v>
      </c>
      <c r="K33">
        <v>3.7</v>
      </c>
      <c r="L33">
        <v>4</v>
      </c>
      <c r="M33" t="s">
        <v>119</v>
      </c>
    </row>
    <row r="34" spans="1:13" x14ac:dyDescent="0.3">
      <c r="A34" t="s">
        <v>140</v>
      </c>
      <c r="B34" t="s">
        <v>141</v>
      </c>
      <c r="C34" t="s">
        <v>75</v>
      </c>
      <c r="D34" t="s">
        <v>90</v>
      </c>
      <c r="E34" t="s">
        <v>42</v>
      </c>
      <c r="F34" t="s">
        <v>83</v>
      </c>
      <c r="G34" t="s">
        <v>104</v>
      </c>
      <c r="H34" t="s">
        <v>20</v>
      </c>
      <c r="I34">
        <v>5576</v>
      </c>
      <c r="J34">
        <v>4</v>
      </c>
      <c r="K34">
        <v>4.0999999999999996</v>
      </c>
      <c r="L34">
        <v>6</v>
      </c>
      <c r="M34" t="s">
        <v>119</v>
      </c>
    </row>
    <row r="35" spans="1:13" x14ac:dyDescent="0.3">
      <c r="A35" t="s">
        <v>142</v>
      </c>
      <c r="B35" t="s">
        <v>143</v>
      </c>
      <c r="C35" t="s">
        <v>50</v>
      </c>
      <c r="D35" t="s">
        <v>63</v>
      </c>
      <c r="E35" t="s">
        <v>52</v>
      </c>
      <c r="F35" t="s">
        <v>60</v>
      </c>
      <c r="G35" t="s">
        <v>28</v>
      </c>
      <c r="H35" t="s">
        <v>20</v>
      </c>
      <c r="I35">
        <v>2196</v>
      </c>
      <c r="J35">
        <v>1</v>
      </c>
      <c r="K35">
        <v>3.9</v>
      </c>
      <c r="L35">
        <v>4</v>
      </c>
      <c r="M35" t="s">
        <v>144</v>
      </c>
    </row>
    <row r="36" spans="1:13" x14ac:dyDescent="0.3">
      <c r="A36" t="s">
        <v>145</v>
      </c>
      <c r="B36" t="s">
        <v>111</v>
      </c>
      <c r="C36" t="s">
        <v>146</v>
      </c>
      <c r="D36" t="s">
        <v>147</v>
      </c>
      <c r="E36" t="s">
        <v>52</v>
      </c>
      <c r="F36" t="s">
        <v>83</v>
      </c>
      <c r="G36" t="s">
        <v>28</v>
      </c>
      <c r="H36" t="s">
        <v>29</v>
      </c>
      <c r="I36">
        <v>6790</v>
      </c>
      <c r="J36">
        <v>7</v>
      </c>
      <c r="K36">
        <v>4.2</v>
      </c>
      <c r="L36">
        <v>2</v>
      </c>
      <c r="M36" t="s">
        <v>87</v>
      </c>
    </row>
    <row r="37" spans="1:13" x14ac:dyDescent="0.3">
      <c r="A37" t="s">
        <v>148</v>
      </c>
      <c r="B37" t="s">
        <v>149</v>
      </c>
      <c r="C37" t="s">
        <v>112</v>
      </c>
      <c r="D37" t="s">
        <v>90</v>
      </c>
      <c r="E37" t="s">
        <v>42</v>
      </c>
      <c r="F37" t="s">
        <v>60</v>
      </c>
      <c r="G37" t="s">
        <v>19</v>
      </c>
      <c r="H37" t="s">
        <v>29</v>
      </c>
      <c r="I37">
        <v>22584</v>
      </c>
      <c r="J37">
        <v>8</v>
      </c>
      <c r="K37">
        <v>4.7</v>
      </c>
      <c r="L37">
        <v>5</v>
      </c>
      <c r="M37" t="s">
        <v>30</v>
      </c>
    </row>
    <row r="38" spans="1:13" x14ac:dyDescent="0.3">
      <c r="A38" t="s">
        <v>150</v>
      </c>
      <c r="B38" t="s">
        <v>96</v>
      </c>
      <c r="C38" t="s">
        <v>50</v>
      </c>
      <c r="D38" t="s">
        <v>41</v>
      </c>
      <c r="E38" t="s">
        <v>42</v>
      </c>
      <c r="F38" t="s">
        <v>27</v>
      </c>
      <c r="G38" t="s">
        <v>19</v>
      </c>
      <c r="H38" t="s">
        <v>20</v>
      </c>
      <c r="I38">
        <v>20496</v>
      </c>
      <c r="J38">
        <v>4</v>
      </c>
      <c r="K38">
        <v>3.4</v>
      </c>
      <c r="L38">
        <v>4</v>
      </c>
      <c r="M38" t="s">
        <v>21</v>
      </c>
    </row>
    <row r="39" spans="1:13" x14ac:dyDescent="0.3">
      <c r="A39" t="s">
        <v>151</v>
      </c>
      <c r="B39" t="s">
        <v>152</v>
      </c>
      <c r="C39" t="s">
        <v>58</v>
      </c>
      <c r="D39" t="s">
        <v>116</v>
      </c>
      <c r="E39" t="s">
        <v>17</v>
      </c>
      <c r="F39" t="s">
        <v>27</v>
      </c>
      <c r="G39" t="s">
        <v>54</v>
      </c>
      <c r="H39" t="s">
        <v>64</v>
      </c>
      <c r="I39">
        <v>8466</v>
      </c>
      <c r="J39">
        <v>6</v>
      </c>
      <c r="K39">
        <v>4.7</v>
      </c>
      <c r="L39">
        <v>7</v>
      </c>
      <c r="M39" t="s">
        <v>55</v>
      </c>
    </row>
    <row r="40" spans="1:13" x14ac:dyDescent="0.3">
      <c r="A40" t="s">
        <v>153</v>
      </c>
      <c r="B40" t="s">
        <v>154</v>
      </c>
      <c r="C40" t="s">
        <v>122</v>
      </c>
      <c r="D40" t="s">
        <v>41</v>
      </c>
      <c r="E40" t="s">
        <v>42</v>
      </c>
      <c r="F40" t="s">
        <v>53</v>
      </c>
      <c r="G40" t="s">
        <v>28</v>
      </c>
      <c r="H40" t="s">
        <v>64</v>
      </c>
      <c r="I40">
        <v>25865</v>
      </c>
      <c r="J40">
        <v>5</v>
      </c>
      <c r="K40">
        <v>4.8</v>
      </c>
      <c r="L40">
        <v>8</v>
      </c>
      <c r="M40" t="s">
        <v>126</v>
      </c>
    </row>
    <row r="41" spans="1:13" x14ac:dyDescent="0.3">
      <c r="A41" t="s">
        <v>155</v>
      </c>
      <c r="B41" t="s">
        <v>156</v>
      </c>
      <c r="C41" t="s">
        <v>58</v>
      </c>
      <c r="D41" t="s">
        <v>116</v>
      </c>
      <c r="E41" t="s">
        <v>17</v>
      </c>
      <c r="F41" t="s">
        <v>100</v>
      </c>
      <c r="G41" t="s">
        <v>54</v>
      </c>
      <c r="H41" t="s">
        <v>36</v>
      </c>
      <c r="I41">
        <v>12481</v>
      </c>
      <c r="J41">
        <v>7</v>
      </c>
      <c r="K41">
        <v>4.2</v>
      </c>
      <c r="L41">
        <v>7</v>
      </c>
      <c r="M41" t="s">
        <v>126</v>
      </c>
    </row>
    <row r="42" spans="1:13" x14ac:dyDescent="0.3">
      <c r="A42" t="s">
        <v>157</v>
      </c>
      <c r="B42" t="s">
        <v>158</v>
      </c>
      <c r="C42" t="s">
        <v>50</v>
      </c>
      <c r="D42" t="s">
        <v>159</v>
      </c>
      <c r="E42" t="s">
        <v>42</v>
      </c>
      <c r="F42" t="s">
        <v>53</v>
      </c>
      <c r="G42" t="s">
        <v>28</v>
      </c>
      <c r="H42" t="s">
        <v>29</v>
      </c>
      <c r="I42">
        <v>10143</v>
      </c>
      <c r="J42">
        <v>3</v>
      </c>
      <c r="K42">
        <v>4</v>
      </c>
      <c r="L42">
        <v>6</v>
      </c>
      <c r="M42" t="s">
        <v>47</v>
      </c>
    </row>
    <row r="43" spans="1:13" x14ac:dyDescent="0.3">
      <c r="A43" t="s">
        <v>160</v>
      </c>
      <c r="B43" t="s">
        <v>161</v>
      </c>
      <c r="C43" t="s">
        <v>15</v>
      </c>
      <c r="D43" t="s">
        <v>116</v>
      </c>
      <c r="E43" t="s">
        <v>17</v>
      </c>
      <c r="F43" t="s">
        <v>100</v>
      </c>
      <c r="G43" t="s">
        <v>19</v>
      </c>
      <c r="H43" t="s">
        <v>20</v>
      </c>
      <c r="I43">
        <v>1016</v>
      </c>
      <c r="J43">
        <v>1</v>
      </c>
      <c r="K43">
        <v>4.9000000000000004</v>
      </c>
      <c r="L43">
        <v>4</v>
      </c>
      <c r="M43" t="s">
        <v>144</v>
      </c>
    </row>
    <row r="44" spans="1:13" x14ac:dyDescent="0.3">
      <c r="A44" t="s">
        <v>162</v>
      </c>
      <c r="B44" t="s">
        <v>163</v>
      </c>
      <c r="C44" t="s">
        <v>24</v>
      </c>
      <c r="D44" t="s">
        <v>51</v>
      </c>
      <c r="E44" t="s">
        <v>52</v>
      </c>
      <c r="F44" t="s">
        <v>53</v>
      </c>
      <c r="G44" t="s">
        <v>54</v>
      </c>
      <c r="H44" t="s">
        <v>36</v>
      </c>
      <c r="I44">
        <v>2284</v>
      </c>
      <c r="J44">
        <v>2</v>
      </c>
      <c r="K44">
        <v>3.5</v>
      </c>
      <c r="L44">
        <v>2</v>
      </c>
      <c r="M44" t="s">
        <v>119</v>
      </c>
    </row>
    <row r="45" spans="1:13" x14ac:dyDescent="0.3">
      <c r="A45" t="s">
        <v>164</v>
      </c>
      <c r="B45" t="s">
        <v>139</v>
      </c>
      <c r="C45" t="s">
        <v>45</v>
      </c>
      <c r="D45" t="s">
        <v>165</v>
      </c>
      <c r="E45" t="s">
        <v>35</v>
      </c>
      <c r="F45" t="s">
        <v>18</v>
      </c>
      <c r="G45" t="s">
        <v>54</v>
      </c>
      <c r="H45" t="s">
        <v>29</v>
      </c>
      <c r="I45">
        <v>87227</v>
      </c>
      <c r="J45">
        <v>7</v>
      </c>
      <c r="K45">
        <v>3.6</v>
      </c>
      <c r="L45">
        <v>5</v>
      </c>
      <c r="M45" t="s">
        <v>119</v>
      </c>
    </row>
    <row r="46" spans="1:13" x14ac:dyDescent="0.3">
      <c r="A46" t="s">
        <v>166</v>
      </c>
      <c r="B46" t="s">
        <v>167</v>
      </c>
      <c r="C46" t="s">
        <v>133</v>
      </c>
      <c r="D46" t="s">
        <v>69</v>
      </c>
      <c r="E46" t="s">
        <v>26</v>
      </c>
      <c r="F46" t="s">
        <v>53</v>
      </c>
      <c r="G46" t="s">
        <v>28</v>
      </c>
      <c r="H46" t="s">
        <v>20</v>
      </c>
      <c r="I46">
        <v>46092</v>
      </c>
      <c r="J46">
        <v>6</v>
      </c>
      <c r="K46">
        <v>4.7</v>
      </c>
      <c r="L46">
        <v>2</v>
      </c>
      <c r="M46" t="s">
        <v>119</v>
      </c>
    </row>
    <row r="47" spans="1:13" x14ac:dyDescent="0.3">
      <c r="A47" t="s">
        <v>168</v>
      </c>
      <c r="B47" t="s">
        <v>169</v>
      </c>
      <c r="C47" t="s">
        <v>170</v>
      </c>
      <c r="D47" t="s">
        <v>159</v>
      </c>
      <c r="E47" t="s">
        <v>42</v>
      </c>
      <c r="F47" t="s">
        <v>83</v>
      </c>
      <c r="G47" t="s">
        <v>54</v>
      </c>
      <c r="H47" t="s">
        <v>29</v>
      </c>
      <c r="I47">
        <v>22540</v>
      </c>
      <c r="J47">
        <v>5</v>
      </c>
      <c r="K47">
        <v>4.7</v>
      </c>
      <c r="L47">
        <v>5</v>
      </c>
      <c r="M47" t="s">
        <v>65</v>
      </c>
    </row>
    <row r="48" spans="1:13" x14ac:dyDescent="0.3">
      <c r="A48" t="s">
        <v>171</v>
      </c>
      <c r="B48" t="s">
        <v>172</v>
      </c>
      <c r="C48" t="s">
        <v>103</v>
      </c>
      <c r="D48" t="s">
        <v>159</v>
      </c>
      <c r="E48" t="s">
        <v>42</v>
      </c>
      <c r="F48" t="s">
        <v>53</v>
      </c>
      <c r="G48" t="s">
        <v>104</v>
      </c>
      <c r="H48" t="s">
        <v>29</v>
      </c>
      <c r="I48">
        <v>23534</v>
      </c>
      <c r="J48">
        <v>7</v>
      </c>
      <c r="K48">
        <v>4.0999999999999996</v>
      </c>
      <c r="L48">
        <v>6</v>
      </c>
      <c r="M48" t="s">
        <v>47</v>
      </c>
    </row>
    <row r="49" spans="1:13" x14ac:dyDescent="0.3">
      <c r="A49" t="s">
        <v>173</v>
      </c>
      <c r="B49" t="s">
        <v>174</v>
      </c>
      <c r="C49" t="s">
        <v>125</v>
      </c>
      <c r="D49" t="s">
        <v>25</v>
      </c>
      <c r="E49" t="s">
        <v>26</v>
      </c>
      <c r="F49" t="s">
        <v>60</v>
      </c>
      <c r="G49" t="s">
        <v>54</v>
      </c>
      <c r="H49" t="s">
        <v>36</v>
      </c>
      <c r="I49">
        <v>39584</v>
      </c>
      <c r="J49">
        <v>4</v>
      </c>
      <c r="K49">
        <v>4.5999999999999996</v>
      </c>
      <c r="L49">
        <v>8</v>
      </c>
      <c r="M49" t="s">
        <v>65</v>
      </c>
    </row>
    <row r="50" spans="1:13" x14ac:dyDescent="0.3">
      <c r="A50" t="s">
        <v>175</v>
      </c>
      <c r="B50" t="s">
        <v>176</v>
      </c>
      <c r="C50" t="s">
        <v>129</v>
      </c>
      <c r="D50" t="s">
        <v>34</v>
      </c>
      <c r="E50" t="s">
        <v>35</v>
      </c>
      <c r="F50" t="s">
        <v>27</v>
      </c>
      <c r="G50" t="s">
        <v>28</v>
      </c>
      <c r="H50" t="s">
        <v>29</v>
      </c>
      <c r="I50">
        <v>258124</v>
      </c>
      <c r="J50">
        <v>4</v>
      </c>
      <c r="K50">
        <v>3.8</v>
      </c>
      <c r="L50">
        <v>6</v>
      </c>
      <c r="M50" t="s">
        <v>55</v>
      </c>
    </row>
    <row r="51" spans="1:13" x14ac:dyDescent="0.3">
      <c r="A51" t="s">
        <v>177</v>
      </c>
      <c r="B51" t="s">
        <v>178</v>
      </c>
      <c r="C51" t="s">
        <v>179</v>
      </c>
      <c r="D51" t="s">
        <v>130</v>
      </c>
      <c r="E51" t="s">
        <v>35</v>
      </c>
      <c r="F51" t="s">
        <v>83</v>
      </c>
      <c r="G51" t="s">
        <v>28</v>
      </c>
      <c r="H51" t="s">
        <v>29</v>
      </c>
      <c r="I51">
        <v>87718</v>
      </c>
      <c r="J51">
        <v>2</v>
      </c>
      <c r="K51">
        <v>4.9000000000000004</v>
      </c>
      <c r="L51">
        <v>3</v>
      </c>
      <c r="M51" t="s">
        <v>37</v>
      </c>
    </row>
    <row r="52" spans="1:13" x14ac:dyDescent="0.3">
      <c r="A52" t="s">
        <v>180</v>
      </c>
      <c r="B52" t="s">
        <v>181</v>
      </c>
      <c r="C52" t="s">
        <v>103</v>
      </c>
      <c r="D52" t="s">
        <v>59</v>
      </c>
      <c r="E52" t="s">
        <v>26</v>
      </c>
      <c r="F52" t="s">
        <v>18</v>
      </c>
      <c r="G52" t="s">
        <v>54</v>
      </c>
      <c r="H52" t="s">
        <v>29</v>
      </c>
      <c r="I52">
        <v>23008</v>
      </c>
      <c r="J52">
        <v>4</v>
      </c>
      <c r="K52">
        <v>3.2</v>
      </c>
      <c r="L52">
        <v>3</v>
      </c>
      <c r="M52" t="s">
        <v>87</v>
      </c>
    </row>
    <row r="53" spans="1:13" x14ac:dyDescent="0.3">
      <c r="A53" t="s">
        <v>182</v>
      </c>
      <c r="B53" t="s">
        <v>183</v>
      </c>
      <c r="C53" t="s">
        <v>103</v>
      </c>
      <c r="D53" t="s">
        <v>51</v>
      </c>
      <c r="E53" t="s">
        <v>52</v>
      </c>
      <c r="F53" t="s">
        <v>60</v>
      </c>
      <c r="G53" t="s">
        <v>54</v>
      </c>
      <c r="H53" t="s">
        <v>36</v>
      </c>
      <c r="I53">
        <v>1414</v>
      </c>
      <c r="J53">
        <v>1</v>
      </c>
      <c r="K53">
        <v>3.8</v>
      </c>
      <c r="L53">
        <v>1</v>
      </c>
      <c r="M53" t="s">
        <v>87</v>
      </c>
    </row>
    <row r="54" spans="1:13" x14ac:dyDescent="0.3">
      <c r="A54" t="s">
        <v>184</v>
      </c>
      <c r="B54" t="s">
        <v>185</v>
      </c>
      <c r="C54" t="s">
        <v>78</v>
      </c>
      <c r="D54" t="s">
        <v>90</v>
      </c>
      <c r="E54" t="s">
        <v>42</v>
      </c>
      <c r="F54" t="s">
        <v>60</v>
      </c>
      <c r="G54" t="s">
        <v>19</v>
      </c>
      <c r="H54" t="s">
        <v>64</v>
      </c>
      <c r="I54">
        <v>3189</v>
      </c>
      <c r="J54">
        <v>1</v>
      </c>
      <c r="K54">
        <v>5</v>
      </c>
      <c r="L54">
        <v>2</v>
      </c>
      <c r="M54" t="s">
        <v>87</v>
      </c>
    </row>
    <row r="55" spans="1:13" x14ac:dyDescent="0.3">
      <c r="A55" t="s">
        <v>186</v>
      </c>
      <c r="B55" t="s">
        <v>187</v>
      </c>
      <c r="C55" t="s">
        <v>75</v>
      </c>
      <c r="D55" t="s">
        <v>90</v>
      </c>
      <c r="E55" t="s">
        <v>42</v>
      </c>
      <c r="F55" t="s">
        <v>83</v>
      </c>
      <c r="G55" t="s">
        <v>19</v>
      </c>
      <c r="H55" t="s">
        <v>20</v>
      </c>
      <c r="I55">
        <v>10584</v>
      </c>
      <c r="J55">
        <v>7</v>
      </c>
      <c r="K55">
        <v>4.3</v>
      </c>
      <c r="L55">
        <v>5</v>
      </c>
      <c r="M55" t="s">
        <v>126</v>
      </c>
    </row>
    <row r="56" spans="1:13" x14ac:dyDescent="0.3">
      <c r="A56" t="s">
        <v>188</v>
      </c>
      <c r="B56" t="s">
        <v>189</v>
      </c>
      <c r="C56" t="s">
        <v>40</v>
      </c>
      <c r="D56" t="s">
        <v>25</v>
      </c>
      <c r="E56" t="s">
        <v>26</v>
      </c>
      <c r="F56" t="s">
        <v>27</v>
      </c>
      <c r="G56" t="s">
        <v>28</v>
      </c>
      <c r="H56" t="s">
        <v>36</v>
      </c>
      <c r="I56">
        <v>5571</v>
      </c>
      <c r="J56">
        <v>1</v>
      </c>
      <c r="K56">
        <v>3.3</v>
      </c>
      <c r="L56">
        <v>5</v>
      </c>
      <c r="M56" t="s">
        <v>80</v>
      </c>
    </row>
    <row r="57" spans="1:13" x14ac:dyDescent="0.3">
      <c r="A57" t="s">
        <v>190</v>
      </c>
      <c r="B57" t="s">
        <v>191</v>
      </c>
      <c r="C57" t="s">
        <v>72</v>
      </c>
      <c r="D57" t="s">
        <v>109</v>
      </c>
      <c r="E57" t="s">
        <v>52</v>
      </c>
      <c r="F57" t="s">
        <v>18</v>
      </c>
      <c r="G57" t="s">
        <v>54</v>
      </c>
      <c r="H57" t="s">
        <v>20</v>
      </c>
      <c r="I57">
        <v>2880</v>
      </c>
      <c r="J57">
        <v>4</v>
      </c>
      <c r="K57">
        <v>3.5</v>
      </c>
      <c r="L57">
        <v>5</v>
      </c>
      <c r="M57" t="s">
        <v>192</v>
      </c>
    </row>
    <row r="58" spans="1:13" x14ac:dyDescent="0.3">
      <c r="A58" t="s">
        <v>193</v>
      </c>
      <c r="B58" t="s">
        <v>102</v>
      </c>
      <c r="C58" t="s">
        <v>146</v>
      </c>
      <c r="D58" t="s">
        <v>165</v>
      </c>
      <c r="E58" t="s">
        <v>35</v>
      </c>
      <c r="F58" t="s">
        <v>18</v>
      </c>
      <c r="G58" t="s">
        <v>54</v>
      </c>
      <c r="H58" t="s">
        <v>64</v>
      </c>
      <c r="I58">
        <v>319665</v>
      </c>
      <c r="J58">
        <v>5</v>
      </c>
      <c r="K58">
        <v>4.9000000000000004</v>
      </c>
      <c r="L58">
        <v>8</v>
      </c>
      <c r="M58" t="s">
        <v>30</v>
      </c>
    </row>
    <row r="59" spans="1:13" x14ac:dyDescent="0.3">
      <c r="A59" t="s">
        <v>194</v>
      </c>
      <c r="B59" t="s">
        <v>195</v>
      </c>
      <c r="C59" t="s">
        <v>58</v>
      </c>
      <c r="D59" t="s">
        <v>165</v>
      </c>
      <c r="E59" t="s">
        <v>35</v>
      </c>
      <c r="F59" t="s">
        <v>18</v>
      </c>
      <c r="G59" t="s">
        <v>19</v>
      </c>
      <c r="H59" t="s">
        <v>64</v>
      </c>
      <c r="I59">
        <v>77892</v>
      </c>
      <c r="J59">
        <v>1</v>
      </c>
      <c r="K59">
        <v>5</v>
      </c>
      <c r="L59">
        <v>5</v>
      </c>
      <c r="M59" t="s">
        <v>21</v>
      </c>
    </row>
    <row r="60" spans="1:13" x14ac:dyDescent="0.3">
      <c r="A60" t="s">
        <v>196</v>
      </c>
      <c r="B60" t="s">
        <v>197</v>
      </c>
      <c r="C60" t="s">
        <v>170</v>
      </c>
      <c r="D60" t="s">
        <v>69</v>
      </c>
      <c r="E60" t="s">
        <v>26</v>
      </c>
      <c r="F60" t="s">
        <v>27</v>
      </c>
      <c r="G60" t="s">
        <v>54</v>
      </c>
      <c r="H60" t="s">
        <v>20</v>
      </c>
      <c r="I60">
        <v>25500</v>
      </c>
      <c r="J60">
        <v>3</v>
      </c>
      <c r="K60">
        <v>3.8</v>
      </c>
      <c r="L60">
        <v>6</v>
      </c>
      <c r="M60" t="s">
        <v>21</v>
      </c>
    </row>
    <row r="61" spans="1:13" x14ac:dyDescent="0.3">
      <c r="A61" t="s">
        <v>198</v>
      </c>
      <c r="B61" t="s">
        <v>199</v>
      </c>
      <c r="C61" t="s">
        <v>170</v>
      </c>
      <c r="D61" t="s">
        <v>97</v>
      </c>
      <c r="E61" t="s">
        <v>35</v>
      </c>
      <c r="F61" t="s">
        <v>18</v>
      </c>
      <c r="G61" t="s">
        <v>28</v>
      </c>
      <c r="H61" t="s">
        <v>36</v>
      </c>
      <c r="I61">
        <v>596816</v>
      </c>
      <c r="J61">
        <v>8</v>
      </c>
      <c r="K61">
        <v>3.4</v>
      </c>
      <c r="L61">
        <v>5</v>
      </c>
      <c r="M61" t="s">
        <v>119</v>
      </c>
    </row>
    <row r="62" spans="1:13" x14ac:dyDescent="0.3">
      <c r="A62" t="s">
        <v>200</v>
      </c>
      <c r="B62" t="s">
        <v>201</v>
      </c>
      <c r="C62" t="s">
        <v>179</v>
      </c>
      <c r="D62" t="s">
        <v>69</v>
      </c>
      <c r="E62" t="s">
        <v>26</v>
      </c>
      <c r="F62" t="s">
        <v>53</v>
      </c>
      <c r="G62" t="s">
        <v>19</v>
      </c>
      <c r="H62" t="s">
        <v>29</v>
      </c>
      <c r="I62">
        <v>8967</v>
      </c>
      <c r="J62">
        <v>1</v>
      </c>
      <c r="K62">
        <v>4.3</v>
      </c>
      <c r="L62">
        <v>1</v>
      </c>
      <c r="M62" t="s">
        <v>55</v>
      </c>
    </row>
    <row r="63" spans="1:13" x14ac:dyDescent="0.3">
      <c r="A63" t="s">
        <v>202</v>
      </c>
      <c r="B63" t="s">
        <v>203</v>
      </c>
      <c r="C63" t="s">
        <v>75</v>
      </c>
      <c r="D63" t="s">
        <v>90</v>
      </c>
      <c r="E63" t="s">
        <v>42</v>
      </c>
      <c r="F63" t="s">
        <v>83</v>
      </c>
      <c r="G63" t="s">
        <v>54</v>
      </c>
      <c r="H63" t="s">
        <v>64</v>
      </c>
      <c r="I63">
        <v>3245</v>
      </c>
      <c r="J63">
        <v>1</v>
      </c>
      <c r="K63">
        <v>3.2</v>
      </c>
      <c r="L63">
        <v>7</v>
      </c>
      <c r="M63" t="s">
        <v>80</v>
      </c>
    </row>
    <row r="64" spans="1:13" x14ac:dyDescent="0.3">
      <c r="A64" t="s">
        <v>204</v>
      </c>
      <c r="B64" t="s">
        <v>205</v>
      </c>
      <c r="C64" t="s">
        <v>50</v>
      </c>
      <c r="D64" t="s">
        <v>86</v>
      </c>
      <c r="E64" t="s">
        <v>17</v>
      </c>
      <c r="F64" t="s">
        <v>83</v>
      </c>
      <c r="G64" t="s">
        <v>19</v>
      </c>
      <c r="H64" t="s">
        <v>36</v>
      </c>
      <c r="I64">
        <v>6710</v>
      </c>
      <c r="J64">
        <v>5</v>
      </c>
      <c r="K64">
        <v>3.6</v>
      </c>
      <c r="L64">
        <v>3</v>
      </c>
      <c r="M64" t="s">
        <v>65</v>
      </c>
    </row>
    <row r="65" spans="1:13" x14ac:dyDescent="0.3">
      <c r="A65" t="s">
        <v>206</v>
      </c>
      <c r="B65" t="s">
        <v>207</v>
      </c>
      <c r="C65" t="s">
        <v>72</v>
      </c>
      <c r="D65" t="s">
        <v>97</v>
      </c>
      <c r="E65" t="s">
        <v>35</v>
      </c>
      <c r="F65" t="s">
        <v>60</v>
      </c>
      <c r="G65" t="s">
        <v>28</v>
      </c>
      <c r="H65" t="s">
        <v>29</v>
      </c>
      <c r="I65">
        <v>208160</v>
      </c>
      <c r="J65">
        <v>5</v>
      </c>
      <c r="K65">
        <v>5</v>
      </c>
      <c r="L65">
        <v>8</v>
      </c>
      <c r="M65" t="s">
        <v>126</v>
      </c>
    </row>
    <row r="66" spans="1:13" x14ac:dyDescent="0.3">
      <c r="A66" t="s">
        <v>208</v>
      </c>
      <c r="B66" t="s">
        <v>209</v>
      </c>
      <c r="C66" t="s">
        <v>33</v>
      </c>
      <c r="D66" t="s">
        <v>165</v>
      </c>
      <c r="E66" t="s">
        <v>35</v>
      </c>
      <c r="F66" t="s">
        <v>53</v>
      </c>
      <c r="G66" t="s">
        <v>28</v>
      </c>
      <c r="H66" t="s">
        <v>64</v>
      </c>
      <c r="I66">
        <v>190589</v>
      </c>
      <c r="J66">
        <v>7</v>
      </c>
      <c r="K66">
        <v>3.9</v>
      </c>
      <c r="L66">
        <v>7</v>
      </c>
      <c r="M66" t="s">
        <v>30</v>
      </c>
    </row>
    <row r="67" spans="1:13" x14ac:dyDescent="0.3">
      <c r="A67" t="s">
        <v>210</v>
      </c>
      <c r="B67" t="s">
        <v>211</v>
      </c>
      <c r="C67" t="s">
        <v>68</v>
      </c>
      <c r="D67" t="s">
        <v>159</v>
      </c>
      <c r="E67" t="s">
        <v>42</v>
      </c>
      <c r="F67" t="s">
        <v>100</v>
      </c>
      <c r="G67" t="s">
        <v>28</v>
      </c>
      <c r="H67" t="s">
        <v>36</v>
      </c>
      <c r="I67">
        <v>3419</v>
      </c>
      <c r="J67">
        <v>1</v>
      </c>
      <c r="K67">
        <v>4.8</v>
      </c>
      <c r="L67">
        <v>8</v>
      </c>
      <c r="M67" t="s">
        <v>65</v>
      </c>
    </row>
    <row r="68" spans="1:13" x14ac:dyDescent="0.3">
      <c r="A68" t="s">
        <v>212</v>
      </c>
      <c r="B68" t="s">
        <v>213</v>
      </c>
      <c r="C68" t="s">
        <v>170</v>
      </c>
      <c r="D68" t="s">
        <v>51</v>
      </c>
      <c r="E68" t="s">
        <v>52</v>
      </c>
      <c r="F68" t="s">
        <v>27</v>
      </c>
      <c r="G68" t="s">
        <v>28</v>
      </c>
      <c r="H68" t="s">
        <v>29</v>
      </c>
      <c r="I68">
        <v>6519</v>
      </c>
      <c r="J68">
        <v>3</v>
      </c>
      <c r="K68">
        <v>4.4000000000000004</v>
      </c>
      <c r="L68">
        <v>2</v>
      </c>
      <c r="M68" t="s">
        <v>119</v>
      </c>
    </row>
    <row r="69" spans="1:13" x14ac:dyDescent="0.3">
      <c r="A69" t="s">
        <v>214</v>
      </c>
      <c r="B69" t="s">
        <v>215</v>
      </c>
      <c r="C69" t="s">
        <v>146</v>
      </c>
      <c r="D69" t="s">
        <v>41</v>
      </c>
      <c r="E69" t="s">
        <v>42</v>
      </c>
      <c r="F69" t="s">
        <v>83</v>
      </c>
      <c r="G69" t="s">
        <v>104</v>
      </c>
      <c r="H69" t="s">
        <v>36</v>
      </c>
      <c r="I69">
        <v>2880</v>
      </c>
      <c r="J69">
        <v>2</v>
      </c>
      <c r="K69">
        <v>5</v>
      </c>
      <c r="L69">
        <v>2</v>
      </c>
      <c r="M69" t="s">
        <v>192</v>
      </c>
    </row>
    <row r="70" spans="1:13" x14ac:dyDescent="0.3">
      <c r="A70" t="s">
        <v>216</v>
      </c>
      <c r="B70" t="s">
        <v>217</v>
      </c>
      <c r="C70" t="s">
        <v>24</v>
      </c>
      <c r="D70" t="s">
        <v>218</v>
      </c>
      <c r="E70" t="s">
        <v>17</v>
      </c>
      <c r="F70" t="s">
        <v>83</v>
      </c>
      <c r="G70" t="s">
        <v>54</v>
      </c>
      <c r="H70" t="s">
        <v>64</v>
      </c>
      <c r="I70">
        <v>5170</v>
      </c>
      <c r="J70">
        <v>5</v>
      </c>
      <c r="K70">
        <v>4.2</v>
      </c>
      <c r="L70">
        <v>3</v>
      </c>
      <c r="M70" t="s">
        <v>144</v>
      </c>
    </row>
    <row r="71" spans="1:13" x14ac:dyDescent="0.3">
      <c r="A71" t="s">
        <v>219</v>
      </c>
      <c r="B71" t="s">
        <v>220</v>
      </c>
      <c r="C71" t="s">
        <v>40</v>
      </c>
      <c r="D71" t="s">
        <v>79</v>
      </c>
      <c r="E71" t="s">
        <v>26</v>
      </c>
      <c r="F71" t="s">
        <v>27</v>
      </c>
      <c r="G71" t="s">
        <v>19</v>
      </c>
      <c r="H71" t="s">
        <v>36</v>
      </c>
      <c r="I71">
        <v>14949</v>
      </c>
      <c r="J71">
        <v>3</v>
      </c>
      <c r="K71">
        <v>4.4000000000000004</v>
      </c>
      <c r="L71">
        <v>8</v>
      </c>
      <c r="M71" t="s">
        <v>65</v>
      </c>
    </row>
    <row r="72" spans="1:13" x14ac:dyDescent="0.3">
      <c r="A72" t="s">
        <v>221</v>
      </c>
      <c r="B72" t="s">
        <v>222</v>
      </c>
      <c r="C72" t="s">
        <v>125</v>
      </c>
      <c r="D72" t="s">
        <v>46</v>
      </c>
      <c r="E72" t="s">
        <v>42</v>
      </c>
      <c r="F72" t="s">
        <v>18</v>
      </c>
      <c r="G72" t="s">
        <v>19</v>
      </c>
      <c r="H72" t="s">
        <v>64</v>
      </c>
      <c r="I72">
        <v>22210</v>
      </c>
      <c r="J72">
        <v>5</v>
      </c>
      <c r="K72">
        <v>3.6</v>
      </c>
      <c r="L72">
        <v>7</v>
      </c>
      <c r="M72" t="s">
        <v>30</v>
      </c>
    </row>
    <row r="73" spans="1:13" x14ac:dyDescent="0.3">
      <c r="A73" t="s">
        <v>223</v>
      </c>
      <c r="B73" t="s">
        <v>224</v>
      </c>
      <c r="C73" t="s">
        <v>45</v>
      </c>
      <c r="D73" t="s">
        <v>59</v>
      </c>
      <c r="E73" t="s">
        <v>26</v>
      </c>
      <c r="F73" t="s">
        <v>27</v>
      </c>
      <c r="G73" t="s">
        <v>28</v>
      </c>
      <c r="H73" t="s">
        <v>29</v>
      </c>
      <c r="I73">
        <v>26485</v>
      </c>
      <c r="J73">
        <v>5</v>
      </c>
      <c r="K73">
        <v>3.2</v>
      </c>
      <c r="L73">
        <v>1</v>
      </c>
      <c r="M73" t="s">
        <v>30</v>
      </c>
    </row>
    <row r="74" spans="1:13" x14ac:dyDescent="0.3">
      <c r="A74" t="s">
        <v>225</v>
      </c>
      <c r="B74" t="s">
        <v>226</v>
      </c>
      <c r="C74" t="s">
        <v>40</v>
      </c>
      <c r="D74" t="s">
        <v>109</v>
      </c>
      <c r="E74" t="s">
        <v>52</v>
      </c>
      <c r="F74" t="s">
        <v>60</v>
      </c>
      <c r="G74" t="s">
        <v>54</v>
      </c>
      <c r="H74" t="s">
        <v>29</v>
      </c>
      <c r="I74">
        <v>5104</v>
      </c>
      <c r="J74">
        <v>4</v>
      </c>
      <c r="K74">
        <v>4.8</v>
      </c>
      <c r="L74">
        <v>1</v>
      </c>
      <c r="M74" t="s">
        <v>37</v>
      </c>
    </row>
    <row r="75" spans="1:13" x14ac:dyDescent="0.3">
      <c r="A75" t="s">
        <v>227</v>
      </c>
      <c r="B75" t="s">
        <v>228</v>
      </c>
      <c r="C75" t="s">
        <v>112</v>
      </c>
      <c r="D75" t="s">
        <v>147</v>
      </c>
      <c r="E75" t="s">
        <v>52</v>
      </c>
      <c r="F75" t="s">
        <v>100</v>
      </c>
      <c r="G75" t="s">
        <v>104</v>
      </c>
      <c r="H75" t="s">
        <v>20</v>
      </c>
      <c r="I75">
        <v>5814</v>
      </c>
      <c r="J75">
        <v>6</v>
      </c>
      <c r="K75">
        <v>4.8</v>
      </c>
      <c r="L75">
        <v>6</v>
      </c>
      <c r="M75" t="s">
        <v>126</v>
      </c>
    </row>
    <row r="76" spans="1:13" x14ac:dyDescent="0.3">
      <c r="A76" t="s">
        <v>229</v>
      </c>
      <c r="B76" t="s">
        <v>228</v>
      </c>
      <c r="C76" t="s">
        <v>78</v>
      </c>
      <c r="D76" t="s">
        <v>97</v>
      </c>
      <c r="E76" t="s">
        <v>35</v>
      </c>
      <c r="F76" t="s">
        <v>53</v>
      </c>
      <c r="G76" t="s">
        <v>54</v>
      </c>
      <c r="H76" t="s">
        <v>64</v>
      </c>
      <c r="I76">
        <v>74214</v>
      </c>
      <c r="J76">
        <v>6</v>
      </c>
      <c r="K76">
        <v>4.7</v>
      </c>
      <c r="L76">
        <v>7</v>
      </c>
      <c r="M76" t="s">
        <v>126</v>
      </c>
    </row>
    <row r="77" spans="1:13" x14ac:dyDescent="0.3">
      <c r="A77" t="s">
        <v>230</v>
      </c>
      <c r="B77" t="s">
        <v>231</v>
      </c>
      <c r="C77" t="s">
        <v>68</v>
      </c>
      <c r="D77" t="s">
        <v>218</v>
      </c>
      <c r="E77" t="s">
        <v>17</v>
      </c>
      <c r="F77" t="s">
        <v>27</v>
      </c>
      <c r="G77" t="s">
        <v>19</v>
      </c>
      <c r="H77" t="s">
        <v>64</v>
      </c>
      <c r="I77">
        <v>2462</v>
      </c>
      <c r="J77">
        <v>2</v>
      </c>
      <c r="K77">
        <v>4.7</v>
      </c>
      <c r="L77">
        <v>6</v>
      </c>
      <c r="M77" t="s">
        <v>30</v>
      </c>
    </row>
    <row r="78" spans="1:13" x14ac:dyDescent="0.3">
      <c r="A78" t="s">
        <v>232</v>
      </c>
      <c r="B78" t="s">
        <v>233</v>
      </c>
      <c r="C78" t="s">
        <v>33</v>
      </c>
      <c r="D78" t="s">
        <v>218</v>
      </c>
      <c r="E78" t="s">
        <v>17</v>
      </c>
      <c r="F78" t="s">
        <v>18</v>
      </c>
      <c r="G78" t="s">
        <v>104</v>
      </c>
      <c r="H78" t="s">
        <v>64</v>
      </c>
      <c r="I78">
        <v>6504</v>
      </c>
      <c r="J78">
        <v>4</v>
      </c>
      <c r="K78">
        <v>3.9</v>
      </c>
      <c r="L78">
        <v>3</v>
      </c>
      <c r="M78" t="s">
        <v>192</v>
      </c>
    </row>
    <row r="79" spans="1:13" x14ac:dyDescent="0.3">
      <c r="A79" t="s">
        <v>234</v>
      </c>
      <c r="B79" t="s">
        <v>235</v>
      </c>
      <c r="C79" t="s">
        <v>133</v>
      </c>
      <c r="D79" t="s">
        <v>16</v>
      </c>
      <c r="E79" t="s">
        <v>17</v>
      </c>
      <c r="F79" t="s">
        <v>27</v>
      </c>
      <c r="G79" t="s">
        <v>54</v>
      </c>
      <c r="H79" t="s">
        <v>64</v>
      </c>
      <c r="I79">
        <v>3285</v>
      </c>
      <c r="J79">
        <v>3</v>
      </c>
      <c r="K79">
        <v>4.3</v>
      </c>
      <c r="L79">
        <v>3</v>
      </c>
      <c r="M79" t="s">
        <v>21</v>
      </c>
    </row>
    <row r="80" spans="1:13" x14ac:dyDescent="0.3">
      <c r="A80" t="s">
        <v>236</v>
      </c>
      <c r="B80" t="s">
        <v>237</v>
      </c>
      <c r="C80" t="s">
        <v>68</v>
      </c>
      <c r="D80" t="s">
        <v>69</v>
      </c>
      <c r="E80" t="s">
        <v>26</v>
      </c>
      <c r="F80" t="s">
        <v>27</v>
      </c>
      <c r="G80" t="s">
        <v>104</v>
      </c>
      <c r="H80" t="s">
        <v>29</v>
      </c>
      <c r="I80">
        <v>8085</v>
      </c>
      <c r="J80">
        <v>1</v>
      </c>
      <c r="K80">
        <v>4.9000000000000004</v>
      </c>
      <c r="L80">
        <v>6</v>
      </c>
      <c r="M80" t="s">
        <v>21</v>
      </c>
    </row>
    <row r="81" spans="1:13" x14ac:dyDescent="0.3">
      <c r="A81" t="s">
        <v>238</v>
      </c>
      <c r="B81" t="s">
        <v>115</v>
      </c>
      <c r="C81" t="s">
        <v>33</v>
      </c>
      <c r="D81" t="s">
        <v>116</v>
      </c>
      <c r="E81" t="s">
        <v>17</v>
      </c>
      <c r="F81" t="s">
        <v>53</v>
      </c>
      <c r="G81" t="s">
        <v>19</v>
      </c>
      <c r="H81" t="s">
        <v>20</v>
      </c>
      <c r="I81">
        <v>2200</v>
      </c>
      <c r="J81">
        <v>4</v>
      </c>
      <c r="K81">
        <v>4.4000000000000004</v>
      </c>
      <c r="L81">
        <v>1</v>
      </c>
      <c r="M81" t="s">
        <v>21</v>
      </c>
    </row>
    <row r="82" spans="1:13" x14ac:dyDescent="0.3">
      <c r="A82" t="s">
        <v>239</v>
      </c>
      <c r="B82" t="s">
        <v>108</v>
      </c>
      <c r="C82" t="s">
        <v>103</v>
      </c>
      <c r="D82" t="s">
        <v>79</v>
      </c>
      <c r="E82" t="s">
        <v>26</v>
      </c>
      <c r="F82" t="s">
        <v>83</v>
      </c>
      <c r="G82" t="s">
        <v>19</v>
      </c>
      <c r="H82" t="s">
        <v>29</v>
      </c>
      <c r="I82">
        <v>12868</v>
      </c>
      <c r="J82">
        <v>4</v>
      </c>
      <c r="K82">
        <v>4.5999999999999996</v>
      </c>
      <c r="L82">
        <v>1</v>
      </c>
      <c r="M82" t="s">
        <v>87</v>
      </c>
    </row>
    <row r="83" spans="1:13" x14ac:dyDescent="0.3">
      <c r="A83" t="s">
        <v>240</v>
      </c>
      <c r="B83" t="s">
        <v>167</v>
      </c>
      <c r="C83" t="s">
        <v>103</v>
      </c>
      <c r="D83" t="s">
        <v>147</v>
      </c>
      <c r="E83" t="s">
        <v>52</v>
      </c>
      <c r="F83" t="s">
        <v>18</v>
      </c>
      <c r="G83" t="s">
        <v>19</v>
      </c>
      <c r="H83" t="s">
        <v>64</v>
      </c>
      <c r="I83">
        <v>310</v>
      </c>
      <c r="J83">
        <v>1</v>
      </c>
      <c r="K83">
        <v>3.8</v>
      </c>
      <c r="L83">
        <v>3</v>
      </c>
      <c r="M83" t="s">
        <v>119</v>
      </c>
    </row>
    <row r="84" spans="1:13" x14ac:dyDescent="0.3">
      <c r="A84" t="s">
        <v>241</v>
      </c>
      <c r="B84" t="s">
        <v>242</v>
      </c>
      <c r="C84" t="s">
        <v>45</v>
      </c>
      <c r="D84" t="s">
        <v>25</v>
      </c>
      <c r="E84" t="s">
        <v>26</v>
      </c>
      <c r="F84" t="s">
        <v>18</v>
      </c>
      <c r="G84" t="s">
        <v>104</v>
      </c>
      <c r="H84" t="s">
        <v>64</v>
      </c>
      <c r="I84">
        <v>20688</v>
      </c>
      <c r="J84">
        <v>8</v>
      </c>
      <c r="K84">
        <v>4</v>
      </c>
      <c r="L84">
        <v>4</v>
      </c>
      <c r="M84" t="s">
        <v>87</v>
      </c>
    </row>
    <row r="85" spans="1:13" x14ac:dyDescent="0.3">
      <c r="A85" t="s">
        <v>243</v>
      </c>
      <c r="B85" t="s">
        <v>244</v>
      </c>
      <c r="C85" t="s">
        <v>45</v>
      </c>
      <c r="D85" t="s">
        <v>16</v>
      </c>
      <c r="E85" t="s">
        <v>17</v>
      </c>
      <c r="F85" t="s">
        <v>83</v>
      </c>
      <c r="G85" t="s">
        <v>54</v>
      </c>
      <c r="H85" t="s">
        <v>20</v>
      </c>
      <c r="I85">
        <v>8211</v>
      </c>
      <c r="J85">
        <v>7</v>
      </c>
      <c r="K85">
        <v>4.8</v>
      </c>
      <c r="L85">
        <v>6</v>
      </c>
      <c r="M85" t="s">
        <v>65</v>
      </c>
    </row>
    <row r="86" spans="1:13" x14ac:dyDescent="0.3">
      <c r="A86" t="s">
        <v>245</v>
      </c>
      <c r="B86" t="s">
        <v>246</v>
      </c>
      <c r="C86" t="s">
        <v>68</v>
      </c>
      <c r="D86" t="s">
        <v>165</v>
      </c>
      <c r="E86" t="s">
        <v>35</v>
      </c>
      <c r="F86" t="s">
        <v>27</v>
      </c>
      <c r="G86" t="s">
        <v>19</v>
      </c>
      <c r="H86" t="s">
        <v>64</v>
      </c>
      <c r="I86">
        <v>246912</v>
      </c>
      <c r="J86">
        <v>6</v>
      </c>
      <c r="K86">
        <v>4.3</v>
      </c>
      <c r="L86">
        <v>2</v>
      </c>
      <c r="M86" t="s">
        <v>192</v>
      </c>
    </row>
    <row r="87" spans="1:13" x14ac:dyDescent="0.3">
      <c r="A87" t="s">
        <v>247</v>
      </c>
      <c r="B87" t="s">
        <v>201</v>
      </c>
      <c r="C87" t="s">
        <v>129</v>
      </c>
      <c r="D87" t="s">
        <v>159</v>
      </c>
      <c r="E87" t="s">
        <v>42</v>
      </c>
      <c r="F87" t="s">
        <v>83</v>
      </c>
      <c r="G87" t="s">
        <v>28</v>
      </c>
      <c r="H87" t="s">
        <v>36</v>
      </c>
      <c r="I87">
        <v>8868</v>
      </c>
      <c r="J87">
        <v>6</v>
      </c>
      <c r="K87">
        <v>4</v>
      </c>
      <c r="L87">
        <v>5</v>
      </c>
      <c r="M87" t="s">
        <v>55</v>
      </c>
    </row>
    <row r="88" spans="1:13" x14ac:dyDescent="0.3">
      <c r="A88" t="s">
        <v>248</v>
      </c>
      <c r="B88" t="s">
        <v>94</v>
      </c>
      <c r="C88" t="s">
        <v>68</v>
      </c>
      <c r="D88" t="s">
        <v>16</v>
      </c>
      <c r="E88" t="s">
        <v>17</v>
      </c>
      <c r="F88" t="s">
        <v>60</v>
      </c>
      <c r="G88" t="s">
        <v>104</v>
      </c>
      <c r="H88" t="s">
        <v>64</v>
      </c>
      <c r="I88">
        <v>3479</v>
      </c>
      <c r="J88">
        <v>7</v>
      </c>
      <c r="K88">
        <v>4.3</v>
      </c>
      <c r="L88">
        <v>6</v>
      </c>
      <c r="M88" t="s">
        <v>87</v>
      </c>
    </row>
    <row r="89" spans="1:13" x14ac:dyDescent="0.3">
      <c r="A89" t="s">
        <v>249</v>
      </c>
      <c r="B89" t="s">
        <v>250</v>
      </c>
      <c r="C89" t="s">
        <v>122</v>
      </c>
      <c r="D89" t="s">
        <v>218</v>
      </c>
      <c r="E89" t="s">
        <v>17</v>
      </c>
      <c r="F89" t="s">
        <v>18</v>
      </c>
      <c r="G89" t="s">
        <v>104</v>
      </c>
      <c r="H89" t="s">
        <v>29</v>
      </c>
      <c r="I89">
        <v>5100</v>
      </c>
      <c r="J89">
        <v>5</v>
      </c>
      <c r="K89">
        <v>3.5</v>
      </c>
      <c r="L89">
        <v>8</v>
      </c>
      <c r="M89" t="s">
        <v>192</v>
      </c>
    </row>
    <row r="90" spans="1:13" x14ac:dyDescent="0.3">
      <c r="A90" t="s">
        <v>251</v>
      </c>
      <c r="B90" t="s">
        <v>252</v>
      </c>
      <c r="C90" t="s">
        <v>170</v>
      </c>
      <c r="D90" t="s">
        <v>218</v>
      </c>
      <c r="E90" t="s">
        <v>17</v>
      </c>
      <c r="F90" t="s">
        <v>53</v>
      </c>
      <c r="G90" t="s">
        <v>54</v>
      </c>
      <c r="H90" t="s">
        <v>20</v>
      </c>
      <c r="I90">
        <v>4712</v>
      </c>
      <c r="J90">
        <v>4</v>
      </c>
      <c r="K90">
        <v>3.5</v>
      </c>
      <c r="L90">
        <v>5</v>
      </c>
      <c r="M90" t="s">
        <v>30</v>
      </c>
    </row>
    <row r="91" spans="1:13" x14ac:dyDescent="0.3">
      <c r="A91" t="s">
        <v>253</v>
      </c>
      <c r="B91" t="s">
        <v>108</v>
      </c>
      <c r="C91" t="s">
        <v>170</v>
      </c>
      <c r="D91" t="s">
        <v>51</v>
      </c>
      <c r="E91" t="s">
        <v>52</v>
      </c>
      <c r="F91" t="s">
        <v>83</v>
      </c>
      <c r="G91" t="s">
        <v>104</v>
      </c>
      <c r="H91" t="s">
        <v>29</v>
      </c>
      <c r="I91">
        <v>1125</v>
      </c>
      <c r="J91">
        <v>3</v>
      </c>
      <c r="K91">
        <v>3.9</v>
      </c>
      <c r="L91">
        <v>8</v>
      </c>
      <c r="M91" t="s">
        <v>87</v>
      </c>
    </row>
    <row r="92" spans="1:13" x14ac:dyDescent="0.3">
      <c r="A92" t="s">
        <v>254</v>
      </c>
      <c r="B92" t="s">
        <v>255</v>
      </c>
      <c r="C92" t="s">
        <v>146</v>
      </c>
      <c r="D92" t="s">
        <v>165</v>
      </c>
      <c r="E92" t="s">
        <v>35</v>
      </c>
      <c r="F92" t="s">
        <v>27</v>
      </c>
      <c r="G92" t="s">
        <v>28</v>
      </c>
      <c r="H92" t="s">
        <v>64</v>
      </c>
      <c r="I92">
        <v>46264</v>
      </c>
      <c r="J92">
        <v>2</v>
      </c>
      <c r="K92">
        <v>4.4000000000000004</v>
      </c>
      <c r="L92">
        <v>5</v>
      </c>
      <c r="M92" t="s">
        <v>192</v>
      </c>
    </row>
    <row r="93" spans="1:13" x14ac:dyDescent="0.3">
      <c r="A93" t="s">
        <v>256</v>
      </c>
      <c r="B93" t="s">
        <v>257</v>
      </c>
      <c r="C93" t="s">
        <v>112</v>
      </c>
      <c r="D93" t="s">
        <v>69</v>
      </c>
      <c r="E93" t="s">
        <v>26</v>
      </c>
      <c r="F93" t="s">
        <v>27</v>
      </c>
      <c r="G93" t="s">
        <v>104</v>
      </c>
      <c r="H93" t="s">
        <v>36</v>
      </c>
      <c r="I93">
        <v>39215</v>
      </c>
      <c r="J93">
        <v>5</v>
      </c>
      <c r="K93">
        <v>3.4</v>
      </c>
      <c r="L93">
        <v>8</v>
      </c>
      <c r="M93" t="s">
        <v>47</v>
      </c>
    </row>
    <row r="94" spans="1:13" x14ac:dyDescent="0.3">
      <c r="A94" t="s">
        <v>258</v>
      </c>
      <c r="B94" t="s">
        <v>259</v>
      </c>
      <c r="C94" t="s">
        <v>170</v>
      </c>
      <c r="D94" t="s">
        <v>51</v>
      </c>
      <c r="E94" t="s">
        <v>52</v>
      </c>
      <c r="F94" t="s">
        <v>18</v>
      </c>
      <c r="G94" t="s">
        <v>54</v>
      </c>
      <c r="H94" t="s">
        <v>64</v>
      </c>
      <c r="I94">
        <v>1087</v>
      </c>
      <c r="J94">
        <v>1</v>
      </c>
      <c r="K94">
        <v>4.5999999999999996</v>
      </c>
      <c r="L94">
        <v>5</v>
      </c>
      <c r="M94" t="s">
        <v>192</v>
      </c>
    </row>
    <row r="95" spans="1:13" x14ac:dyDescent="0.3">
      <c r="A95" t="s">
        <v>260</v>
      </c>
      <c r="B95" t="s">
        <v>261</v>
      </c>
      <c r="C95" t="s">
        <v>50</v>
      </c>
      <c r="D95" t="s">
        <v>159</v>
      </c>
      <c r="E95" t="s">
        <v>42</v>
      </c>
      <c r="F95" t="s">
        <v>27</v>
      </c>
      <c r="G95" t="s">
        <v>54</v>
      </c>
      <c r="H95" t="s">
        <v>64</v>
      </c>
      <c r="I95">
        <v>36939</v>
      </c>
      <c r="J95">
        <v>7</v>
      </c>
      <c r="K95">
        <v>4.7</v>
      </c>
      <c r="L95">
        <v>2</v>
      </c>
      <c r="M95" t="s">
        <v>80</v>
      </c>
    </row>
    <row r="96" spans="1:13" x14ac:dyDescent="0.3">
      <c r="A96" t="s">
        <v>262</v>
      </c>
      <c r="B96" t="s">
        <v>263</v>
      </c>
      <c r="C96" t="s">
        <v>50</v>
      </c>
      <c r="D96" t="s">
        <v>116</v>
      </c>
      <c r="E96" t="s">
        <v>17</v>
      </c>
      <c r="F96" t="s">
        <v>18</v>
      </c>
      <c r="G96" t="s">
        <v>104</v>
      </c>
      <c r="H96" t="s">
        <v>20</v>
      </c>
      <c r="I96">
        <v>8874</v>
      </c>
      <c r="J96">
        <v>6</v>
      </c>
      <c r="K96">
        <v>4</v>
      </c>
      <c r="L96">
        <v>2</v>
      </c>
      <c r="M96" t="s">
        <v>87</v>
      </c>
    </row>
    <row r="97" spans="1:13" x14ac:dyDescent="0.3">
      <c r="A97" t="s">
        <v>264</v>
      </c>
      <c r="B97" t="s">
        <v>118</v>
      </c>
      <c r="C97" t="s">
        <v>50</v>
      </c>
      <c r="D97" t="s">
        <v>69</v>
      </c>
      <c r="E97" t="s">
        <v>26</v>
      </c>
      <c r="F97" t="s">
        <v>53</v>
      </c>
      <c r="G97" t="s">
        <v>104</v>
      </c>
      <c r="H97" t="s">
        <v>20</v>
      </c>
      <c r="I97">
        <v>47628</v>
      </c>
      <c r="J97">
        <v>6</v>
      </c>
      <c r="K97">
        <v>4.3</v>
      </c>
      <c r="L97">
        <v>2</v>
      </c>
      <c r="M97" t="s">
        <v>119</v>
      </c>
    </row>
    <row r="98" spans="1:13" x14ac:dyDescent="0.3">
      <c r="A98" t="s">
        <v>265</v>
      </c>
      <c r="B98" t="s">
        <v>263</v>
      </c>
      <c r="C98" t="s">
        <v>122</v>
      </c>
      <c r="D98" t="s">
        <v>34</v>
      </c>
      <c r="E98" t="s">
        <v>35</v>
      </c>
      <c r="F98" t="s">
        <v>18</v>
      </c>
      <c r="G98" t="s">
        <v>19</v>
      </c>
      <c r="H98" t="s">
        <v>29</v>
      </c>
      <c r="I98">
        <v>55830</v>
      </c>
      <c r="J98">
        <v>2</v>
      </c>
      <c r="K98">
        <v>4.5</v>
      </c>
      <c r="L98">
        <v>3</v>
      </c>
      <c r="M98" t="s">
        <v>87</v>
      </c>
    </row>
    <row r="99" spans="1:13" x14ac:dyDescent="0.3">
      <c r="A99" t="s">
        <v>266</v>
      </c>
      <c r="B99" t="s">
        <v>267</v>
      </c>
      <c r="C99" t="s">
        <v>58</v>
      </c>
      <c r="D99" t="s">
        <v>63</v>
      </c>
      <c r="E99" t="s">
        <v>52</v>
      </c>
      <c r="F99" t="s">
        <v>27</v>
      </c>
      <c r="G99" t="s">
        <v>104</v>
      </c>
      <c r="H99" t="s">
        <v>29</v>
      </c>
      <c r="I99">
        <v>1674</v>
      </c>
      <c r="J99">
        <v>3</v>
      </c>
      <c r="K99">
        <v>4</v>
      </c>
      <c r="L99">
        <v>8</v>
      </c>
      <c r="M99" t="s">
        <v>192</v>
      </c>
    </row>
    <row r="100" spans="1:13" x14ac:dyDescent="0.3">
      <c r="A100" t="s">
        <v>268</v>
      </c>
      <c r="B100" t="s">
        <v>85</v>
      </c>
      <c r="C100" t="s">
        <v>40</v>
      </c>
      <c r="D100" t="s">
        <v>51</v>
      </c>
      <c r="E100" t="s">
        <v>52</v>
      </c>
      <c r="F100" t="s">
        <v>60</v>
      </c>
      <c r="G100" t="s">
        <v>28</v>
      </c>
      <c r="H100" t="s">
        <v>36</v>
      </c>
      <c r="I100">
        <v>11920</v>
      </c>
      <c r="J100">
        <v>8</v>
      </c>
      <c r="K100">
        <v>3.8</v>
      </c>
      <c r="L100">
        <v>2</v>
      </c>
      <c r="M100" t="s">
        <v>87</v>
      </c>
    </row>
    <row r="101" spans="1:13" x14ac:dyDescent="0.3">
      <c r="A101" t="s">
        <v>269</v>
      </c>
      <c r="B101" t="s">
        <v>96</v>
      </c>
      <c r="C101" t="s">
        <v>146</v>
      </c>
      <c r="D101" t="s">
        <v>218</v>
      </c>
      <c r="E101" t="s">
        <v>17</v>
      </c>
      <c r="F101" t="s">
        <v>100</v>
      </c>
      <c r="G101" t="s">
        <v>19</v>
      </c>
      <c r="H101" t="s">
        <v>29</v>
      </c>
      <c r="I101">
        <v>3240</v>
      </c>
      <c r="J101">
        <v>2</v>
      </c>
      <c r="K101">
        <v>3.9</v>
      </c>
      <c r="L101">
        <v>1</v>
      </c>
      <c r="M101" t="s">
        <v>21</v>
      </c>
    </row>
    <row r="102" spans="1:13" x14ac:dyDescent="0.3">
      <c r="A102" t="s">
        <v>270</v>
      </c>
      <c r="B102" t="s">
        <v>271</v>
      </c>
      <c r="C102" t="s">
        <v>33</v>
      </c>
      <c r="D102" t="s">
        <v>69</v>
      </c>
      <c r="E102" t="s">
        <v>26</v>
      </c>
      <c r="F102" t="s">
        <v>83</v>
      </c>
      <c r="G102" t="s">
        <v>28</v>
      </c>
      <c r="H102" t="s">
        <v>64</v>
      </c>
      <c r="I102">
        <v>6543</v>
      </c>
      <c r="J102">
        <v>3</v>
      </c>
      <c r="K102">
        <v>4.0999999999999996</v>
      </c>
      <c r="L102">
        <v>3</v>
      </c>
      <c r="M102" t="s">
        <v>65</v>
      </c>
    </row>
    <row r="103" spans="1:13" x14ac:dyDescent="0.3">
      <c r="A103" t="s">
        <v>272</v>
      </c>
      <c r="B103" t="s">
        <v>273</v>
      </c>
      <c r="C103" t="s">
        <v>75</v>
      </c>
      <c r="D103" t="s">
        <v>79</v>
      </c>
      <c r="E103" t="s">
        <v>26</v>
      </c>
      <c r="F103" t="s">
        <v>53</v>
      </c>
      <c r="G103" t="s">
        <v>54</v>
      </c>
      <c r="H103" t="s">
        <v>64</v>
      </c>
      <c r="I103">
        <v>71538</v>
      </c>
      <c r="J103">
        <v>6</v>
      </c>
      <c r="K103">
        <v>4.3</v>
      </c>
      <c r="L103">
        <v>6</v>
      </c>
      <c r="M103" t="s">
        <v>55</v>
      </c>
    </row>
    <row r="104" spans="1:13" x14ac:dyDescent="0.3">
      <c r="A104" t="s">
        <v>274</v>
      </c>
      <c r="B104" t="s">
        <v>275</v>
      </c>
      <c r="C104" t="s">
        <v>72</v>
      </c>
      <c r="D104" t="s">
        <v>130</v>
      </c>
      <c r="E104" t="s">
        <v>35</v>
      </c>
      <c r="F104" t="s">
        <v>100</v>
      </c>
      <c r="G104" t="s">
        <v>54</v>
      </c>
      <c r="H104" t="s">
        <v>29</v>
      </c>
      <c r="I104">
        <v>236640</v>
      </c>
      <c r="J104">
        <v>3</v>
      </c>
      <c r="K104">
        <v>3.8</v>
      </c>
      <c r="L104">
        <v>7</v>
      </c>
      <c r="M104" t="s">
        <v>119</v>
      </c>
    </row>
    <row r="105" spans="1:13" x14ac:dyDescent="0.3">
      <c r="A105" t="s">
        <v>276</v>
      </c>
      <c r="B105" t="s">
        <v>277</v>
      </c>
      <c r="C105" t="s">
        <v>15</v>
      </c>
      <c r="D105" t="s">
        <v>69</v>
      </c>
      <c r="E105" t="s">
        <v>26</v>
      </c>
      <c r="F105" t="s">
        <v>53</v>
      </c>
      <c r="G105" t="s">
        <v>104</v>
      </c>
      <c r="H105" t="s">
        <v>20</v>
      </c>
      <c r="I105">
        <v>70704</v>
      </c>
      <c r="J105">
        <v>6</v>
      </c>
      <c r="K105">
        <v>4</v>
      </c>
      <c r="L105">
        <v>6</v>
      </c>
      <c r="M105" t="s">
        <v>192</v>
      </c>
    </row>
    <row r="106" spans="1:13" x14ac:dyDescent="0.3">
      <c r="A106" t="s">
        <v>278</v>
      </c>
      <c r="B106" t="s">
        <v>279</v>
      </c>
      <c r="C106" t="s">
        <v>112</v>
      </c>
      <c r="D106" t="s">
        <v>109</v>
      </c>
      <c r="E106" t="s">
        <v>52</v>
      </c>
      <c r="F106" t="s">
        <v>100</v>
      </c>
      <c r="G106" t="s">
        <v>54</v>
      </c>
      <c r="H106" t="s">
        <v>29</v>
      </c>
      <c r="I106">
        <v>3252</v>
      </c>
      <c r="J106">
        <v>4</v>
      </c>
      <c r="K106">
        <v>4.7</v>
      </c>
      <c r="L106">
        <v>2</v>
      </c>
      <c r="M106" t="s">
        <v>65</v>
      </c>
    </row>
    <row r="107" spans="1:13" x14ac:dyDescent="0.3">
      <c r="A107" t="s">
        <v>280</v>
      </c>
      <c r="B107" t="s">
        <v>255</v>
      </c>
      <c r="C107" t="s">
        <v>133</v>
      </c>
      <c r="D107" t="s">
        <v>79</v>
      </c>
      <c r="E107" t="s">
        <v>26</v>
      </c>
      <c r="F107" t="s">
        <v>53</v>
      </c>
      <c r="G107" t="s">
        <v>19</v>
      </c>
      <c r="H107" t="s">
        <v>64</v>
      </c>
      <c r="I107">
        <v>24584</v>
      </c>
      <c r="J107">
        <v>7</v>
      </c>
      <c r="K107">
        <v>4.5</v>
      </c>
      <c r="L107">
        <v>1</v>
      </c>
      <c r="M107" t="s">
        <v>192</v>
      </c>
    </row>
    <row r="108" spans="1:13" x14ac:dyDescent="0.3">
      <c r="A108" t="s">
        <v>281</v>
      </c>
      <c r="B108" t="s">
        <v>282</v>
      </c>
      <c r="C108" t="s">
        <v>146</v>
      </c>
      <c r="D108" t="s">
        <v>59</v>
      </c>
      <c r="E108" t="s">
        <v>26</v>
      </c>
      <c r="F108" t="s">
        <v>53</v>
      </c>
      <c r="G108" t="s">
        <v>28</v>
      </c>
      <c r="H108" t="s">
        <v>64</v>
      </c>
      <c r="I108">
        <v>15912</v>
      </c>
      <c r="J108">
        <v>4</v>
      </c>
      <c r="K108">
        <v>3.9</v>
      </c>
      <c r="L108">
        <v>8</v>
      </c>
      <c r="M108" t="s">
        <v>47</v>
      </c>
    </row>
    <row r="109" spans="1:13" x14ac:dyDescent="0.3">
      <c r="A109" t="s">
        <v>283</v>
      </c>
      <c r="B109" t="s">
        <v>284</v>
      </c>
      <c r="C109" t="s">
        <v>40</v>
      </c>
      <c r="D109" t="s">
        <v>63</v>
      </c>
      <c r="E109" t="s">
        <v>52</v>
      </c>
      <c r="F109" t="s">
        <v>18</v>
      </c>
      <c r="G109" t="s">
        <v>19</v>
      </c>
      <c r="H109" t="s">
        <v>29</v>
      </c>
      <c r="I109">
        <v>1389</v>
      </c>
      <c r="J109">
        <v>3</v>
      </c>
      <c r="K109">
        <v>4.9000000000000004</v>
      </c>
      <c r="L109">
        <v>2</v>
      </c>
      <c r="M109" t="s">
        <v>192</v>
      </c>
    </row>
    <row r="110" spans="1:13" x14ac:dyDescent="0.3">
      <c r="A110" t="s">
        <v>285</v>
      </c>
      <c r="B110" t="s">
        <v>286</v>
      </c>
      <c r="C110" t="s">
        <v>122</v>
      </c>
      <c r="D110" t="s">
        <v>159</v>
      </c>
      <c r="E110" t="s">
        <v>42</v>
      </c>
      <c r="F110" t="s">
        <v>60</v>
      </c>
      <c r="G110" t="s">
        <v>54</v>
      </c>
      <c r="H110" t="s">
        <v>29</v>
      </c>
      <c r="I110">
        <v>1836</v>
      </c>
      <c r="J110">
        <v>2</v>
      </c>
      <c r="K110">
        <v>3.3</v>
      </c>
      <c r="L110">
        <v>6</v>
      </c>
      <c r="M110" t="s">
        <v>47</v>
      </c>
    </row>
    <row r="111" spans="1:13" x14ac:dyDescent="0.3">
      <c r="A111" t="s">
        <v>287</v>
      </c>
      <c r="B111" t="s">
        <v>288</v>
      </c>
      <c r="C111" t="s">
        <v>72</v>
      </c>
      <c r="D111" t="s">
        <v>147</v>
      </c>
      <c r="E111" t="s">
        <v>52</v>
      </c>
      <c r="F111" t="s">
        <v>27</v>
      </c>
      <c r="G111" t="s">
        <v>28</v>
      </c>
      <c r="H111" t="s">
        <v>64</v>
      </c>
      <c r="I111">
        <v>3246</v>
      </c>
      <c r="J111">
        <v>2</v>
      </c>
      <c r="K111">
        <v>3.7</v>
      </c>
      <c r="L111">
        <v>8</v>
      </c>
      <c r="M111" t="s">
        <v>126</v>
      </c>
    </row>
    <row r="112" spans="1:13" x14ac:dyDescent="0.3">
      <c r="A112" t="s">
        <v>289</v>
      </c>
      <c r="B112" t="s">
        <v>290</v>
      </c>
      <c r="C112" t="s">
        <v>40</v>
      </c>
      <c r="D112" t="s">
        <v>25</v>
      </c>
      <c r="E112" t="s">
        <v>26</v>
      </c>
      <c r="F112" t="s">
        <v>83</v>
      </c>
      <c r="G112" t="s">
        <v>104</v>
      </c>
      <c r="H112" t="s">
        <v>36</v>
      </c>
      <c r="I112">
        <v>10775</v>
      </c>
      <c r="J112">
        <v>1</v>
      </c>
      <c r="K112">
        <v>4.0999999999999996</v>
      </c>
      <c r="L112">
        <v>2</v>
      </c>
      <c r="M112" t="s">
        <v>87</v>
      </c>
    </row>
    <row r="113" spans="1:13" x14ac:dyDescent="0.3">
      <c r="A113" t="s">
        <v>291</v>
      </c>
      <c r="B113" t="s">
        <v>292</v>
      </c>
      <c r="C113" t="s">
        <v>72</v>
      </c>
      <c r="D113" t="s">
        <v>86</v>
      </c>
      <c r="E113" t="s">
        <v>17</v>
      </c>
      <c r="F113" t="s">
        <v>53</v>
      </c>
      <c r="G113" t="s">
        <v>28</v>
      </c>
      <c r="H113" t="s">
        <v>36</v>
      </c>
      <c r="I113">
        <v>3424</v>
      </c>
      <c r="J113">
        <v>8</v>
      </c>
      <c r="K113">
        <v>3.2</v>
      </c>
      <c r="L113">
        <v>4</v>
      </c>
      <c r="M113" t="s">
        <v>47</v>
      </c>
    </row>
    <row r="114" spans="1:13" x14ac:dyDescent="0.3">
      <c r="A114" t="s">
        <v>293</v>
      </c>
      <c r="B114" t="s">
        <v>294</v>
      </c>
      <c r="C114" t="s">
        <v>50</v>
      </c>
      <c r="D114" t="s">
        <v>59</v>
      </c>
      <c r="E114" t="s">
        <v>26</v>
      </c>
      <c r="F114" t="s">
        <v>60</v>
      </c>
      <c r="G114" t="s">
        <v>54</v>
      </c>
      <c r="H114" t="s">
        <v>64</v>
      </c>
      <c r="I114">
        <v>13356</v>
      </c>
      <c r="J114">
        <v>7</v>
      </c>
      <c r="K114">
        <v>4.9000000000000004</v>
      </c>
      <c r="L114">
        <v>1</v>
      </c>
      <c r="M114" t="s">
        <v>21</v>
      </c>
    </row>
    <row r="115" spans="1:13" x14ac:dyDescent="0.3">
      <c r="A115" t="s">
        <v>295</v>
      </c>
      <c r="B115" t="s">
        <v>296</v>
      </c>
      <c r="C115" t="s">
        <v>72</v>
      </c>
      <c r="D115" t="s">
        <v>130</v>
      </c>
      <c r="E115" t="s">
        <v>35</v>
      </c>
      <c r="F115" t="s">
        <v>18</v>
      </c>
      <c r="G115" t="s">
        <v>104</v>
      </c>
      <c r="H115" t="s">
        <v>29</v>
      </c>
      <c r="I115">
        <v>204624</v>
      </c>
      <c r="J115">
        <v>6</v>
      </c>
      <c r="K115">
        <v>4.5999999999999996</v>
      </c>
      <c r="L115">
        <v>6</v>
      </c>
      <c r="M115" t="s">
        <v>144</v>
      </c>
    </row>
    <row r="116" spans="1:13" x14ac:dyDescent="0.3">
      <c r="A116" t="s">
        <v>297</v>
      </c>
      <c r="B116" t="s">
        <v>298</v>
      </c>
      <c r="C116" t="s">
        <v>33</v>
      </c>
      <c r="D116" t="s">
        <v>51</v>
      </c>
      <c r="E116" t="s">
        <v>52</v>
      </c>
      <c r="F116" t="s">
        <v>83</v>
      </c>
      <c r="G116" t="s">
        <v>54</v>
      </c>
      <c r="H116" t="s">
        <v>29</v>
      </c>
      <c r="I116">
        <v>7968</v>
      </c>
      <c r="J116">
        <v>8</v>
      </c>
      <c r="K116">
        <v>3.3</v>
      </c>
      <c r="L116">
        <v>4</v>
      </c>
      <c r="M116" t="s">
        <v>119</v>
      </c>
    </row>
    <row r="117" spans="1:13" x14ac:dyDescent="0.3">
      <c r="A117" t="s">
        <v>299</v>
      </c>
      <c r="B117" t="s">
        <v>300</v>
      </c>
      <c r="C117" t="s">
        <v>170</v>
      </c>
      <c r="D117" t="s">
        <v>165</v>
      </c>
      <c r="E117" t="s">
        <v>35</v>
      </c>
      <c r="F117" t="s">
        <v>53</v>
      </c>
      <c r="G117" t="s">
        <v>54</v>
      </c>
      <c r="H117" t="s">
        <v>29</v>
      </c>
      <c r="I117">
        <v>220384</v>
      </c>
      <c r="J117">
        <v>8</v>
      </c>
      <c r="K117">
        <v>4.8</v>
      </c>
      <c r="L117">
        <v>1</v>
      </c>
      <c r="M117" t="s">
        <v>55</v>
      </c>
    </row>
    <row r="118" spans="1:13" x14ac:dyDescent="0.3">
      <c r="A118" t="s">
        <v>301</v>
      </c>
      <c r="B118" t="s">
        <v>302</v>
      </c>
      <c r="C118" t="s">
        <v>75</v>
      </c>
      <c r="D118" t="s">
        <v>90</v>
      </c>
      <c r="E118" t="s">
        <v>42</v>
      </c>
      <c r="F118" t="s">
        <v>27</v>
      </c>
      <c r="G118" t="s">
        <v>28</v>
      </c>
      <c r="H118" t="s">
        <v>36</v>
      </c>
      <c r="I118">
        <v>33425</v>
      </c>
      <c r="J118">
        <v>7</v>
      </c>
      <c r="K118">
        <v>4.9000000000000004</v>
      </c>
      <c r="L118">
        <v>5</v>
      </c>
      <c r="M118" t="s">
        <v>47</v>
      </c>
    </row>
    <row r="119" spans="1:13" x14ac:dyDescent="0.3">
      <c r="A119" t="s">
        <v>303</v>
      </c>
      <c r="B119" t="s">
        <v>304</v>
      </c>
      <c r="C119" t="s">
        <v>45</v>
      </c>
      <c r="D119" t="s">
        <v>159</v>
      </c>
      <c r="E119" t="s">
        <v>42</v>
      </c>
      <c r="F119" t="s">
        <v>27</v>
      </c>
      <c r="G119" t="s">
        <v>28</v>
      </c>
      <c r="H119" t="s">
        <v>20</v>
      </c>
      <c r="I119">
        <v>16930</v>
      </c>
      <c r="J119">
        <v>5</v>
      </c>
      <c r="K119">
        <v>3.7</v>
      </c>
      <c r="L119">
        <v>8</v>
      </c>
      <c r="M119" t="s">
        <v>30</v>
      </c>
    </row>
    <row r="120" spans="1:13" x14ac:dyDescent="0.3">
      <c r="A120" t="s">
        <v>305</v>
      </c>
      <c r="B120" t="s">
        <v>306</v>
      </c>
      <c r="C120" t="s">
        <v>75</v>
      </c>
      <c r="D120" t="s">
        <v>46</v>
      </c>
      <c r="E120" t="s">
        <v>42</v>
      </c>
      <c r="F120" t="s">
        <v>27</v>
      </c>
      <c r="G120" t="s">
        <v>28</v>
      </c>
      <c r="H120" t="s">
        <v>29</v>
      </c>
      <c r="I120">
        <v>4263</v>
      </c>
      <c r="J120">
        <v>1</v>
      </c>
      <c r="K120">
        <v>4.4000000000000004</v>
      </c>
      <c r="L120">
        <v>1</v>
      </c>
      <c r="M120" t="s">
        <v>47</v>
      </c>
    </row>
    <row r="121" spans="1:13" x14ac:dyDescent="0.3">
      <c r="A121" t="s">
        <v>307</v>
      </c>
      <c r="B121" t="s">
        <v>308</v>
      </c>
      <c r="C121" t="s">
        <v>129</v>
      </c>
      <c r="D121" t="s">
        <v>79</v>
      </c>
      <c r="E121" t="s">
        <v>26</v>
      </c>
      <c r="F121" t="s">
        <v>60</v>
      </c>
      <c r="G121" t="s">
        <v>54</v>
      </c>
      <c r="H121" t="s">
        <v>20</v>
      </c>
      <c r="I121">
        <v>5703</v>
      </c>
      <c r="J121">
        <v>3</v>
      </c>
      <c r="K121">
        <v>3.6</v>
      </c>
      <c r="L121">
        <v>6</v>
      </c>
      <c r="M121" t="s">
        <v>144</v>
      </c>
    </row>
    <row r="122" spans="1:13" x14ac:dyDescent="0.3">
      <c r="A122" t="s">
        <v>309</v>
      </c>
      <c r="B122" t="s">
        <v>310</v>
      </c>
      <c r="C122" t="s">
        <v>122</v>
      </c>
      <c r="D122" t="s">
        <v>46</v>
      </c>
      <c r="E122" t="s">
        <v>42</v>
      </c>
      <c r="F122" t="s">
        <v>18</v>
      </c>
      <c r="G122" t="s">
        <v>54</v>
      </c>
      <c r="H122" t="s">
        <v>20</v>
      </c>
      <c r="I122">
        <v>29648</v>
      </c>
      <c r="J122">
        <v>8</v>
      </c>
      <c r="K122">
        <v>3.8</v>
      </c>
      <c r="L122">
        <v>5</v>
      </c>
      <c r="M122" t="s">
        <v>55</v>
      </c>
    </row>
    <row r="123" spans="1:13" x14ac:dyDescent="0.3">
      <c r="A123" t="s">
        <v>311</v>
      </c>
      <c r="B123" t="s">
        <v>23</v>
      </c>
      <c r="C123" t="s">
        <v>179</v>
      </c>
      <c r="D123" t="s">
        <v>90</v>
      </c>
      <c r="E123" t="s">
        <v>42</v>
      </c>
      <c r="F123" t="s">
        <v>18</v>
      </c>
      <c r="G123" t="s">
        <v>19</v>
      </c>
      <c r="H123" t="s">
        <v>36</v>
      </c>
      <c r="I123">
        <v>4914</v>
      </c>
      <c r="J123">
        <v>2</v>
      </c>
      <c r="K123">
        <v>3.7</v>
      </c>
      <c r="L123">
        <v>8</v>
      </c>
      <c r="M123" t="s">
        <v>30</v>
      </c>
    </row>
    <row r="124" spans="1:13" x14ac:dyDescent="0.3">
      <c r="A124" t="s">
        <v>312</v>
      </c>
      <c r="B124" t="s">
        <v>313</v>
      </c>
      <c r="C124" t="s">
        <v>24</v>
      </c>
      <c r="D124" t="s">
        <v>159</v>
      </c>
      <c r="E124" t="s">
        <v>42</v>
      </c>
      <c r="F124" t="s">
        <v>27</v>
      </c>
      <c r="G124" t="s">
        <v>19</v>
      </c>
      <c r="H124" t="s">
        <v>29</v>
      </c>
      <c r="I124">
        <v>2462</v>
      </c>
      <c r="J124">
        <v>2</v>
      </c>
      <c r="K124">
        <v>4.2</v>
      </c>
      <c r="L124">
        <v>5</v>
      </c>
      <c r="M124" t="s">
        <v>47</v>
      </c>
    </row>
    <row r="125" spans="1:13" x14ac:dyDescent="0.3">
      <c r="A125" t="s">
        <v>314</v>
      </c>
      <c r="B125" t="s">
        <v>203</v>
      </c>
      <c r="C125" t="s">
        <v>146</v>
      </c>
      <c r="D125" t="s">
        <v>79</v>
      </c>
      <c r="E125" t="s">
        <v>26</v>
      </c>
      <c r="F125" t="s">
        <v>100</v>
      </c>
      <c r="G125" t="s">
        <v>19</v>
      </c>
      <c r="H125" t="s">
        <v>36</v>
      </c>
      <c r="I125">
        <v>26848</v>
      </c>
      <c r="J125">
        <v>4</v>
      </c>
      <c r="K125">
        <v>4.2</v>
      </c>
      <c r="L125">
        <v>6</v>
      </c>
      <c r="M125" t="s">
        <v>80</v>
      </c>
    </row>
    <row r="126" spans="1:13" x14ac:dyDescent="0.3">
      <c r="A126" t="s">
        <v>315</v>
      </c>
      <c r="B126" t="s">
        <v>300</v>
      </c>
      <c r="C126" t="s">
        <v>75</v>
      </c>
      <c r="D126" t="s">
        <v>218</v>
      </c>
      <c r="E126" t="s">
        <v>17</v>
      </c>
      <c r="F126" t="s">
        <v>60</v>
      </c>
      <c r="G126" t="s">
        <v>28</v>
      </c>
      <c r="H126" t="s">
        <v>29</v>
      </c>
      <c r="I126">
        <v>11008</v>
      </c>
      <c r="J126">
        <v>8</v>
      </c>
      <c r="K126">
        <v>3.4</v>
      </c>
      <c r="L126">
        <v>6</v>
      </c>
      <c r="M126" t="s">
        <v>55</v>
      </c>
    </row>
    <row r="127" spans="1:13" x14ac:dyDescent="0.3">
      <c r="A127" t="s">
        <v>316</v>
      </c>
      <c r="B127" t="s">
        <v>261</v>
      </c>
      <c r="C127" t="s">
        <v>170</v>
      </c>
      <c r="D127" t="s">
        <v>63</v>
      </c>
      <c r="E127" t="s">
        <v>52</v>
      </c>
      <c r="F127" t="s">
        <v>27</v>
      </c>
      <c r="G127" t="s">
        <v>19</v>
      </c>
      <c r="H127" t="s">
        <v>29</v>
      </c>
      <c r="I127">
        <v>3332</v>
      </c>
      <c r="J127">
        <v>7</v>
      </c>
      <c r="K127">
        <v>3.7</v>
      </c>
      <c r="L127">
        <v>3</v>
      </c>
      <c r="M127" t="s">
        <v>80</v>
      </c>
    </row>
    <row r="128" spans="1:13" x14ac:dyDescent="0.3">
      <c r="A128" t="s">
        <v>317</v>
      </c>
      <c r="B128" t="s">
        <v>290</v>
      </c>
      <c r="C128" t="s">
        <v>112</v>
      </c>
      <c r="D128" t="s">
        <v>59</v>
      </c>
      <c r="E128" t="s">
        <v>26</v>
      </c>
      <c r="F128" t="s">
        <v>27</v>
      </c>
      <c r="G128" t="s">
        <v>19</v>
      </c>
      <c r="H128" t="s">
        <v>20</v>
      </c>
      <c r="I128">
        <v>28805</v>
      </c>
      <c r="J128">
        <v>5</v>
      </c>
      <c r="K128">
        <v>4.3</v>
      </c>
      <c r="L128">
        <v>2</v>
      </c>
      <c r="M128" t="s">
        <v>87</v>
      </c>
    </row>
    <row r="129" spans="1:13" x14ac:dyDescent="0.3">
      <c r="A129" t="s">
        <v>318</v>
      </c>
      <c r="B129" t="s">
        <v>319</v>
      </c>
      <c r="C129" t="s">
        <v>58</v>
      </c>
      <c r="D129" t="s">
        <v>109</v>
      </c>
      <c r="E129" t="s">
        <v>52</v>
      </c>
      <c r="F129" t="s">
        <v>60</v>
      </c>
      <c r="G129" t="s">
        <v>54</v>
      </c>
      <c r="H129" t="s">
        <v>64</v>
      </c>
      <c r="I129">
        <v>582</v>
      </c>
      <c r="J129">
        <v>1</v>
      </c>
      <c r="K129">
        <v>3.7</v>
      </c>
      <c r="L129">
        <v>4</v>
      </c>
      <c r="M129" t="s">
        <v>30</v>
      </c>
    </row>
    <row r="130" spans="1:13" x14ac:dyDescent="0.3">
      <c r="A130" t="s">
        <v>320</v>
      </c>
      <c r="B130" t="s">
        <v>321</v>
      </c>
      <c r="C130" t="s">
        <v>24</v>
      </c>
      <c r="D130" t="s">
        <v>59</v>
      </c>
      <c r="E130" t="s">
        <v>26</v>
      </c>
      <c r="F130" t="s">
        <v>60</v>
      </c>
      <c r="G130" t="s">
        <v>28</v>
      </c>
      <c r="H130" t="s">
        <v>64</v>
      </c>
      <c r="I130">
        <v>41150</v>
      </c>
      <c r="J130">
        <v>5</v>
      </c>
      <c r="K130">
        <v>3.3</v>
      </c>
      <c r="L130">
        <v>1</v>
      </c>
      <c r="M130" t="s">
        <v>192</v>
      </c>
    </row>
    <row r="131" spans="1:13" x14ac:dyDescent="0.3">
      <c r="A131" t="s">
        <v>322</v>
      </c>
      <c r="B131" t="s">
        <v>207</v>
      </c>
      <c r="C131" t="s">
        <v>170</v>
      </c>
      <c r="D131" t="s">
        <v>159</v>
      </c>
      <c r="E131" t="s">
        <v>42</v>
      </c>
      <c r="F131" t="s">
        <v>83</v>
      </c>
      <c r="G131" t="s">
        <v>28</v>
      </c>
      <c r="H131" t="s">
        <v>36</v>
      </c>
      <c r="I131">
        <v>11898</v>
      </c>
      <c r="J131">
        <v>3</v>
      </c>
      <c r="K131">
        <v>4.5999999999999996</v>
      </c>
      <c r="L131">
        <v>2</v>
      </c>
      <c r="M131" t="s">
        <v>126</v>
      </c>
    </row>
    <row r="132" spans="1:13" x14ac:dyDescent="0.3">
      <c r="A132" t="s">
        <v>323</v>
      </c>
      <c r="B132" t="s">
        <v>324</v>
      </c>
      <c r="C132" t="s">
        <v>170</v>
      </c>
      <c r="D132" t="s">
        <v>97</v>
      </c>
      <c r="E132" t="s">
        <v>35</v>
      </c>
      <c r="F132" t="s">
        <v>100</v>
      </c>
      <c r="G132" t="s">
        <v>104</v>
      </c>
      <c r="H132" t="s">
        <v>20</v>
      </c>
      <c r="I132">
        <v>121614</v>
      </c>
      <c r="J132">
        <v>3</v>
      </c>
      <c r="K132">
        <v>4</v>
      </c>
      <c r="L132">
        <v>3</v>
      </c>
      <c r="M132" t="s">
        <v>21</v>
      </c>
    </row>
    <row r="133" spans="1:13" x14ac:dyDescent="0.3">
      <c r="A133" t="s">
        <v>325</v>
      </c>
      <c r="B133" t="s">
        <v>326</v>
      </c>
      <c r="C133" t="s">
        <v>122</v>
      </c>
      <c r="D133" t="s">
        <v>51</v>
      </c>
      <c r="E133" t="s">
        <v>52</v>
      </c>
      <c r="F133" t="s">
        <v>83</v>
      </c>
      <c r="G133" t="s">
        <v>104</v>
      </c>
      <c r="H133" t="s">
        <v>36</v>
      </c>
      <c r="I133">
        <v>12104</v>
      </c>
      <c r="J133">
        <v>8</v>
      </c>
      <c r="K133">
        <v>4.9000000000000004</v>
      </c>
      <c r="L133">
        <v>8</v>
      </c>
      <c r="M133" t="s">
        <v>65</v>
      </c>
    </row>
    <row r="134" spans="1:13" x14ac:dyDescent="0.3">
      <c r="A134" t="s">
        <v>327</v>
      </c>
      <c r="B134" t="s">
        <v>211</v>
      </c>
      <c r="C134" t="s">
        <v>129</v>
      </c>
      <c r="D134" t="s">
        <v>218</v>
      </c>
      <c r="E134" t="s">
        <v>17</v>
      </c>
      <c r="F134" t="s">
        <v>60</v>
      </c>
      <c r="G134" t="s">
        <v>104</v>
      </c>
      <c r="H134" t="s">
        <v>36</v>
      </c>
      <c r="I134">
        <v>7080</v>
      </c>
      <c r="J134">
        <v>8</v>
      </c>
      <c r="K134">
        <v>3.4</v>
      </c>
      <c r="L134">
        <v>5</v>
      </c>
      <c r="M134" t="s">
        <v>65</v>
      </c>
    </row>
    <row r="135" spans="1:13" x14ac:dyDescent="0.3">
      <c r="A135" t="s">
        <v>328</v>
      </c>
      <c r="B135" t="s">
        <v>102</v>
      </c>
      <c r="C135" t="s">
        <v>45</v>
      </c>
      <c r="D135" t="s">
        <v>41</v>
      </c>
      <c r="E135" t="s">
        <v>42</v>
      </c>
      <c r="F135" t="s">
        <v>27</v>
      </c>
      <c r="G135" t="s">
        <v>54</v>
      </c>
      <c r="H135" t="s">
        <v>20</v>
      </c>
      <c r="I135">
        <v>15456</v>
      </c>
      <c r="J135">
        <v>4</v>
      </c>
      <c r="K135">
        <v>4</v>
      </c>
      <c r="L135">
        <v>5</v>
      </c>
      <c r="M135" t="s">
        <v>30</v>
      </c>
    </row>
    <row r="136" spans="1:13" x14ac:dyDescent="0.3">
      <c r="A136" t="s">
        <v>329</v>
      </c>
      <c r="B136" t="s">
        <v>330</v>
      </c>
      <c r="C136" t="s">
        <v>33</v>
      </c>
      <c r="D136" t="s">
        <v>116</v>
      </c>
      <c r="E136" t="s">
        <v>17</v>
      </c>
      <c r="F136" t="s">
        <v>18</v>
      </c>
      <c r="G136" t="s">
        <v>19</v>
      </c>
      <c r="H136" t="s">
        <v>29</v>
      </c>
      <c r="I136">
        <v>8652</v>
      </c>
      <c r="J136">
        <v>6</v>
      </c>
      <c r="K136">
        <v>4.0999999999999996</v>
      </c>
      <c r="L136">
        <v>1</v>
      </c>
      <c r="M136" t="s">
        <v>55</v>
      </c>
    </row>
    <row r="137" spans="1:13" x14ac:dyDescent="0.3">
      <c r="A137" t="s">
        <v>331</v>
      </c>
      <c r="B137" t="s">
        <v>332</v>
      </c>
      <c r="C137" t="s">
        <v>58</v>
      </c>
      <c r="D137" t="s">
        <v>90</v>
      </c>
      <c r="E137" t="s">
        <v>42</v>
      </c>
      <c r="F137" t="s">
        <v>53</v>
      </c>
      <c r="G137" t="s">
        <v>28</v>
      </c>
      <c r="H137" t="s">
        <v>29</v>
      </c>
      <c r="I137">
        <v>11757</v>
      </c>
      <c r="J137">
        <v>3</v>
      </c>
      <c r="K137">
        <v>4.5</v>
      </c>
      <c r="L137">
        <v>5</v>
      </c>
      <c r="M137" t="s">
        <v>80</v>
      </c>
    </row>
    <row r="138" spans="1:13" x14ac:dyDescent="0.3">
      <c r="A138" t="s">
        <v>333</v>
      </c>
      <c r="B138" t="s">
        <v>334</v>
      </c>
      <c r="C138" t="s">
        <v>45</v>
      </c>
      <c r="D138" t="s">
        <v>41</v>
      </c>
      <c r="E138" t="s">
        <v>42</v>
      </c>
      <c r="F138" t="s">
        <v>60</v>
      </c>
      <c r="G138" t="s">
        <v>104</v>
      </c>
      <c r="H138" t="s">
        <v>20</v>
      </c>
      <c r="I138">
        <v>32886</v>
      </c>
      <c r="J138">
        <v>6</v>
      </c>
      <c r="K138">
        <v>4.5999999999999996</v>
      </c>
      <c r="L138">
        <v>1</v>
      </c>
      <c r="M138" t="s">
        <v>55</v>
      </c>
    </row>
    <row r="139" spans="1:13" x14ac:dyDescent="0.3">
      <c r="A139" t="s">
        <v>335</v>
      </c>
      <c r="B139" t="s">
        <v>336</v>
      </c>
      <c r="C139" t="s">
        <v>170</v>
      </c>
      <c r="D139" t="s">
        <v>116</v>
      </c>
      <c r="E139" t="s">
        <v>17</v>
      </c>
      <c r="F139" t="s">
        <v>60</v>
      </c>
      <c r="G139" t="s">
        <v>19</v>
      </c>
      <c r="H139" t="s">
        <v>64</v>
      </c>
      <c r="I139">
        <v>4214</v>
      </c>
      <c r="J139">
        <v>7</v>
      </c>
      <c r="K139">
        <v>3.5</v>
      </c>
      <c r="L139">
        <v>8</v>
      </c>
      <c r="M139" t="s">
        <v>80</v>
      </c>
    </row>
    <row r="140" spans="1:13" x14ac:dyDescent="0.3">
      <c r="A140" t="s">
        <v>337</v>
      </c>
      <c r="B140" t="s">
        <v>271</v>
      </c>
      <c r="C140" t="s">
        <v>112</v>
      </c>
      <c r="D140" t="s">
        <v>51</v>
      </c>
      <c r="E140" t="s">
        <v>52</v>
      </c>
      <c r="F140" t="s">
        <v>60</v>
      </c>
      <c r="G140" t="s">
        <v>104</v>
      </c>
      <c r="H140" t="s">
        <v>20</v>
      </c>
      <c r="I140">
        <v>4040</v>
      </c>
      <c r="J140">
        <v>8</v>
      </c>
      <c r="K140">
        <v>4.2</v>
      </c>
      <c r="L140">
        <v>8</v>
      </c>
      <c r="M140" t="s">
        <v>65</v>
      </c>
    </row>
    <row r="141" spans="1:13" x14ac:dyDescent="0.3">
      <c r="A141" t="s">
        <v>338</v>
      </c>
      <c r="B141" t="s">
        <v>304</v>
      </c>
      <c r="C141" t="s">
        <v>78</v>
      </c>
      <c r="D141" t="s">
        <v>46</v>
      </c>
      <c r="E141" t="s">
        <v>42</v>
      </c>
      <c r="F141" t="s">
        <v>53</v>
      </c>
      <c r="G141" t="s">
        <v>19</v>
      </c>
      <c r="H141" t="s">
        <v>29</v>
      </c>
      <c r="I141">
        <v>27996</v>
      </c>
      <c r="J141">
        <v>6</v>
      </c>
      <c r="K141">
        <v>4.9000000000000004</v>
      </c>
      <c r="L141">
        <v>5</v>
      </c>
      <c r="M141" t="s">
        <v>30</v>
      </c>
    </row>
    <row r="142" spans="1:13" x14ac:dyDescent="0.3">
      <c r="A142" t="s">
        <v>339</v>
      </c>
      <c r="B142" t="s">
        <v>118</v>
      </c>
      <c r="C142" t="s">
        <v>50</v>
      </c>
      <c r="D142" t="s">
        <v>34</v>
      </c>
      <c r="E142" t="s">
        <v>35</v>
      </c>
      <c r="F142" t="s">
        <v>53</v>
      </c>
      <c r="G142" t="s">
        <v>19</v>
      </c>
      <c r="H142" t="s">
        <v>29</v>
      </c>
      <c r="I142">
        <v>385744</v>
      </c>
      <c r="J142">
        <v>8</v>
      </c>
      <c r="K142">
        <v>3.7</v>
      </c>
      <c r="L142">
        <v>7</v>
      </c>
      <c r="M142" t="s">
        <v>119</v>
      </c>
    </row>
    <row r="143" spans="1:13" x14ac:dyDescent="0.3">
      <c r="A143" t="s">
        <v>340</v>
      </c>
      <c r="B143" t="s">
        <v>290</v>
      </c>
      <c r="C143" t="s">
        <v>78</v>
      </c>
      <c r="D143" t="s">
        <v>218</v>
      </c>
      <c r="E143" t="s">
        <v>17</v>
      </c>
      <c r="F143" t="s">
        <v>27</v>
      </c>
      <c r="G143" t="s">
        <v>104</v>
      </c>
      <c r="H143" t="s">
        <v>20</v>
      </c>
      <c r="I143">
        <v>7230</v>
      </c>
      <c r="J143">
        <v>6</v>
      </c>
      <c r="K143">
        <v>4.7</v>
      </c>
      <c r="L143">
        <v>5</v>
      </c>
      <c r="M143" t="s">
        <v>87</v>
      </c>
    </row>
    <row r="144" spans="1:13" x14ac:dyDescent="0.3">
      <c r="A144" t="s">
        <v>341</v>
      </c>
      <c r="B144" t="s">
        <v>342</v>
      </c>
      <c r="C144" t="s">
        <v>170</v>
      </c>
      <c r="D144" t="s">
        <v>86</v>
      </c>
      <c r="E144" t="s">
        <v>17</v>
      </c>
      <c r="F144" t="s">
        <v>27</v>
      </c>
      <c r="G144" t="s">
        <v>28</v>
      </c>
      <c r="H144" t="s">
        <v>36</v>
      </c>
      <c r="I144">
        <v>1671</v>
      </c>
      <c r="J144">
        <v>1</v>
      </c>
      <c r="K144">
        <v>3.3</v>
      </c>
      <c r="L144">
        <v>7</v>
      </c>
      <c r="M144" t="s">
        <v>21</v>
      </c>
    </row>
    <row r="145" spans="1:13" x14ac:dyDescent="0.3">
      <c r="A145" t="s">
        <v>343</v>
      </c>
      <c r="B145" t="s">
        <v>344</v>
      </c>
      <c r="C145" t="s">
        <v>75</v>
      </c>
      <c r="D145" t="s">
        <v>147</v>
      </c>
      <c r="E145" t="s">
        <v>52</v>
      </c>
      <c r="F145" t="s">
        <v>27</v>
      </c>
      <c r="G145" t="s">
        <v>19</v>
      </c>
      <c r="H145" t="s">
        <v>36</v>
      </c>
      <c r="I145">
        <v>6594</v>
      </c>
      <c r="J145">
        <v>3</v>
      </c>
      <c r="K145">
        <v>3.8</v>
      </c>
      <c r="L145">
        <v>1</v>
      </c>
      <c r="M145" t="s">
        <v>30</v>
      </c>
    </row>
    <row r="146" spans="1:13" x14ac:dyDescent="0.3">
      <c r="A146" t="s">
        <v>345</v>
      </c>
      <c r="B146" t="s">
        <v>346</v>
      </c>
      <c r="C146" t="s">
        <v>170</v>
      </c>
      <c r="D146" t="s">
        <v>51</v>
      </c>
      <c r="E146" t="s">
        <v>52</v>
      </c>
      <c r="F146" t="s">
        <v>53</v>
      </c>
      <c r="G146" t="s">
        <v>28</v>
      </c>
      <c r="H146" t="s">
        <v>64</v>
      </c>
      <c r="I146">
        <v>2279</v>
      </c>
      <c r="J146">
        <v>1</v>
      </c>
      <c r="K146">
        <v>3.2</v>
      </c>
      <c r="L146">
        <v>2</v>
      </c>
      <c r="M146" t="s">
        <v>37</v>
      </c>
    </row>
    <row r="147" spans="1:13" x14ac:dyDescent="0.3">
      <c r="A147" t="s">
        <v>347</v>
      </c>
      <c r="B147" t="s">
        <v>348</v>
      </c>
      <c r="C147" t="s">
        <v>15</v>
      </c>
      <c r="D147" t="s">
        <v>51</v>
      </c>
      <c r="E147" t="s">
        <v>52</v>
      </c>
      <c r="F147" t="s">
        <v>27</v>
      </c>
      <c r="G147" t="s">
        <v>104</v>
      </c>
      <c r="H147" t="s">
        <v>29</v>
      </c>
      <c r="I147">
        <v>6416</v>
      </c>
      <c r="J147">
        <v>4</v>
      </c>
      <c r="K147">
        <v>3.7</v>
      </c>
      <c r="L147">
        <v>3</v>
      </c>
      <c r="M147" t="s">
        <v>21</v>
      </c>
    </row>
    <row r="148" spans="1:13" x14ac:dyDescent="0.3">
      <c r="A148" t="s">
        <v>349</v>
      </c>
      <c r="B148" t="s">
        <v>350</v>
      </c>
      <c r="C148" t="s">
        <v>72</v>
      </c>
      <c r="D148" t="s">
        <v>79</v>
      </c>
      <c r="E148" t="s">
        <v>26</v>
      </c>
      <c r="F148" t="s">
        <v>60</v>
      </c>
      <c r="G148" t="s">
        <v>104</v>
      </c>
      <c r="H148" t="s">
        <v>20</v>
      </c>
      <c r="I148">
        <v>51569</v>
      </c>
      <c r="J148">
        <v>7</v>
      </c>
      <c r="K148">
        <v>4.4000000000000004</v>
      </c>
      <c r="L148">
        <v>3</v>
      </c>
      <c r="M148" t="s">
        <v>80</v>
      </c>
    </row>
    <row r="149" spans="1:13" x14ac:dyDescent="0.3">
      <c r="A149" t="s">
        <v>351</v>
      </c>
      <c r="B149" t="s">
        <v>352</v>
      </c>
      <c r="C149" t="s">
        <v>103</v>
      </c>
      <c r="D149" t="s">
        <v>218</v>
      </c>
      <c r="E149" t="s">
        <v>17</v>
      </c>
      <c r="F149" t="s">
        <v>27</v>
      </c>
      <c r="G149" t="s">
        <v>104</v>
      </c>
      <c r="H149" t="s">
        <v>20</v>
      </c>
      <c r="I149">
        <v>4856</v>
      </c>
      <c r="J149">
        <v>4</v>
      </c>
      <c r="K149">
        <v>4.5</v>
      </c>
      <c r="L149">
        <v>1</v>
      </c>
      <c r="M149" t="s">
        <v>55</v>
      </c>
    </row>
    <row r="150" spans="1:13" x14ac:dyDescent="0.3">
      <c r="A150" t="s">
        <v>353</v>
      </c>
      <c r="B150" t="s">
        <v>354</v>
      </c>
      <c r="C150" t="s">
        <v>129</v>
      </c>
      <c r="D150" t="s">
        <v>16</v>
      </c>
      <c r="E150" t="s">
        <v>17</v>
      </c>
      <c r="F150" t="s">
        <v>100</v>
      </c>
      <c r="G150" t="s">
        <v>19</v>
      </c>
      <c r="H150" t="s">
        <v>20</v>
      </c>
      <c r="I150">
        <v>3135</v>
      </c>
      <c r="J150">
        <v>5</v>
      </c>
      <c r="K150">
        <v>4.3</v>
      </c>
      <c r="L150">
        <v>5</v>
      </c>
      <c r="M150" t="s">
        <v>47</v>
      </c>
    </row>
    <row r="151" spans="1:13" x14ac:dyDescent="0.3">
      <c r="A151" t="s">
        <v>355</v>
      </c>
      <c r="B151" t="s">
        <v>356</v>
      </c>
      <c r="C151" t="s">
        <v>122</v>
      </c>
      <c r="D151" t="s">
        <v>51</v>
      </c>
      <c r="E151" t="s">
        <v>52</v>
      </c>
      <c r="F151" t="s">
        <v>27</v>
      </c>
      <c r="G151" t="s">
        <v>54</v>
      </c>
      <c r="H151" t="s">
        <v>64</v>
      </c>
      <c r="I151">
        <v>14240</v>
      </c>
      <c r="J151">
        <v>8</v>
      </c>
      <c r="K151">
        <v>4.5999999999999996</v>
      </c>
      <c r="L151">
        <v>4</v>
      </c>
      <c r="M151" t="s">
        <v>80</v>
      </c>
    </row>
    <row r="152" spans="1:13" x14ac:dyDescent="0.3">
      <c r="A152" t="s">
        <v>357</v>
      </c>
      <c r="B152" t="s">
        <v>263</v>
      </c>
      <c r="C152" t="s">
        <v>170</v>
      </c>
      <c r="D152" t="s">
        <v>59</v>
      </c>
      <c r="E152" t="s">
        <v>26</v>
      </c>
      <c r="F152" t="s">
        <v>100</v>
      </c>
      <c r="G152" t="s">
        <v>28</v>
      </c>
      <c r="H152" t="s">
        <v>36</v>
      </c>
      <c r="I152">
        <v>20366</v>
      </c>
      <c r="J152">
        <v>2</v>
      </c>
      <c r="K152">
        <v>4.2</v>
      </c>
      <c r="L152">
        <v>3</v>
      </c>
      <c r="M152" t="s">
        <v>87</v>
      </c>
    </row>
    <row r="153" spans="1:13" x14ac:dyDescent="0.3">
      <c r="A153" t="s">
        <v>358</v>
      </c>
      <c r="B153" t="s">
        <v>359</v>
      </c>
      <c r="C153" t="s">
        <v>78</v>
      </c>
      <c r="D153" t="s">
        <v>51</v>
      </c>
      <c r="E153" t="s">
        <v>52</v>
      </c>
      <c r="F153" t="s">
        <v>60</v>
      </c>
      <c r="G153" t="s">
        <v>104</v>
      </c>
      <c r="H153" t="s">
        <v>36</v>
      </c>
      <c r="I153">
        <v>16856</v>
      </c>
      <c r="J153">
        <v>8</v>
      </c>
      <c r="K153">
        <v>4</v>
      </c>
      <c r="L153">
        <v>1</v>
      </c>
      <c r="M153" t="s">
        <v>87</v>
      </c>
    </row>
    <row r="154" spans="1:13" x14ac:dyDescent="0.3">
      <c r="A154" t="s">
        <v>360</v>
      </c>
      <c r="B154" t="s">
        <v>361</v>
      </c>
      <c r="C154" t="s">
        <v>75</v>
      </c>
      <c r="D154" t="s">
        <v>46</v>
      </c>
      <c r="E154" t="s">
        <v>42</v>
      </c>
      <c r="F154" t="s">
        <v>60</v>
      </c>
      <c r="G154" t="s">
        <v>54</v>
      </c>
      <c r="H154" t="s">
        <v>29</v>
      </c>
      <c r="I154">
        <v>16680</v>
      </c>
      <c r="J154">
        <v>4</v>
      </c>
      <c r="K154">
        <v>4.5</v>
      </c>
      <c r="L154">
        <v>1</v>
      </c>
      <c r="M154" t="s">
        <v>144</v>
      </c>
    </row>
    <row r="155" spans="1:13" x14ac:dyDescent="0.3">
      <c r="A155" t="s">
        <v>362</v>
      </c>
      <c r="B155" t="s">
        <v>363</v>
      </c>
      <c r="C155" t="s">
        <v>129</v>
      </c>
      <c r="D155" t="s">
        <v>159</v>
      </c>
      <c r="E155" t="s">
        <v>42</v>
      </c>
      <c r="F155" t="s">
        <v>18</v>
      </c>
      <c r="G155" t="s">
        <v>19</v>
      </c>
      <c r="H155" t="s">
        <v>64</v>
      </c>
      <c r="I155">
        <v>26544</v>
      </c>
      <c r="J155">
        <v>7</v>
      </c>
      <c r="K155">
        <v>3.3</v>
      </c>
      <c r="L155">
        <v>3</v>
      </c>
      <c r="M155" t="s">
        <v>80</v>
      </c>
    </row>
    <row r="156" spans="1:13" x14ac:dyDescent="0.3">
      <c r="A156" t="s">
        <v>364</v>
      </c>
      <c r="B156" t="s">
        <v>365</v>
      </c>
      <c r="C156" t="s">
        <v>122</v>
      </c>
      <c r="D156" t="s">
        <v>79</v>
      </c>
      <c r="E156" t="s">
        <v>26</v>
      </c>
      <c r="F156" t="s">
        <v>60</v>
      </c>
      <c r="G156" t="s">
        <v>104</v>
      </c>
      <c r="H156" t="s">
        <v>20</v>
      </c>
      <c r="I156">
        <v>7748</v>
      </c>
      <c r="J156">
        <v>1</v>
      </c>
      <c r="K156">
        <v>4.2</v>
      </c>
      <c r="L156">
        <v>4</v>
      </c>
      <c r="M156" t="s">
        <v>37</v>
      </c>
    </row>
    <row r="157" spans="1:13" x14ac:dyDescent="0.3">
      <c r="A157" t="s">
        <v>366</v>
      </c>
      <c r="B157" t="s">
        <v>367</v>
      </c>
      <c r="C157" t="s">
        <v>45</v>
      </c>
      <c r="D157" t="s">
        <v>34</v>
      </c>
      <c r="E157" t="s">
        <v>35</v>
      </c>
      <c r="F157" t="s">
        <v>18</v>
      </c>
      <c r="G157" t="s">
        <v>28</v>
      </c>
      <c r="H157" t="s">
        <v>36</v>
      </c>
      <c r="I157">
        <v>83099</v>
      </c>
      <c r="J157">
        <v>1</v>
      </c>
      <c r="K157">
        <v>3.6</v>
      </c>
      <c r="L157">
        <v>2</v>
      </c>
      <c r="M157" t="s">
        <v>87</v>
      </c>
    </row>
    <row r="158" spans="1:13" x14ac:dyDescent="0.3">
      <c r="A158" t="s">
        <v>368</v>
      </c>
      <c r="B158" t="s">
        <v>369</v>
      </c>
      <c r="C158" t="s">
        <v>122</v>
      </c>
      <c r="D158" t="s">
        <v>147</v>
      </c>
      <c r="E158" t="s">
        <v>52</v>
      </c>
      <c r="F158" t="s">
        <v>27</v>
      </c>
      <c r="G158" t="s">
        <v>104</v>
      </c>
      <c r="H158" t="s">
        <v>29</v>
      </c>
      <c r="I158">
        <v>19680</v>
      </c>
      <c r="J158">
        <v>8</v>
      </c>
      <c r="K158">
        <v>4.0999999999999996</v>
      </c>
      <c r="L158">
        <v>5</v>
      </c>
      <c r="M158" t="s">
        <v>55</v>
      </c>
    </row>
    <row r="159" spans="1:13" x14ac:dyDescent="0.3">
      <c r="A159" t="s">
        <v>370</v>
      </c>
      <c r="B159" t="s">
        <v>371</v>
      </c>
      <c r="C159" t="s">
        <v>133</v>
      </c>
      <c r="D159" t="s">
        <v>109</v>
      </c>
      <c r="E159" t="s">
        <v>52</v>
      </c>
      <c r="F159" t="s">
        <v>100</v>
      </c>
      <c r="G159" t="s">
        <v>28</v>
      </c>
      <c r="H159" t="s">
        <v>36</v>
      </c>
      <c r="I159">
        <v>5920</v>
      </c>
      <c r="J159">
        <v>4</v>
      </c>
      <c r="K159">
        <v>4.9000000000000004</v>
      </c>
      <c r="L159">
        <v>3</v>
      </c>
      <c r="M159" t="s">
        <v>80</v>
      </c>
    </row>
    <row r="160" spans="1:13" x14ac:dyDescent="0.3">
      <c r="A160" t="s">
        <v>372</v>
      </c>
      <c r="B160" t="s">
        <v>373</v>
      </c>
      <c r="C160" t="s">
        <v>122</v>
      </c>
      <c r="D160" t="s">
        <v>97</v>
      </c>
      <c r="E160" t="s">
        <v>35</v>
      </c>
      <c r="F160" t="s">
        <v>83</v>
      </c>
      <c r="G160" t="s">
        <v>104</v>
      </c>
      <c r="H160" t="s">
        <v>20</v>
      </c>
      <c r="I160">
        <v>336066</v>
      </c>
      <c r="J160">
        <v>6</v>
      </c>
      <c r="K160">
        <v>3.9</v>
      </c>
      <c r="L160">
        <v>8</v>
      </c>
      <c r="M160" t="s">
        <v>65</v>
      </c>
    </row>
    <row r="161" spans="1:13" x14ac:dyDescent="0.3">
      <c r="A161" t="s">
        <v>374</v>
      </c>
      <c r="B161" t="s">
        <v>23</v>
      </c>
      <c r="C161" t="s">
        <v>75</v>
      </c>
      <c r="D161" t="s">
        <v>41</v>
      </c>
      <c r="E161" t="s">
        <v>42</v>
      </c>
      <c r="F161" t="s">
        <v>60</v>
      </c>
      <c r="G161" t="s">
        <v>104</v>
      </c>
      <c r="H161" t="s">
        <v>36</v>
      </c>
      <c r="I161">
        <v>27167</v>
      </c>
      <c r="J161">
        <v>7</v>
      </c>
      <c r="K161">
        <v>3.7</v>
      </c>
      <c r="L161">
        <v>6</v>
      </c>
      <c r="M161" t="s">
        <v>30</v>
      </c>
    </row>
    <row r="162" spans="1:13" x14ac:dyDescent="0.3">
      <c r="A162" t="s">
        <v>375</v>
      </c>
      <c r="B162" t="s">
        <v>376</v>
      </c>
      <c r="C162" t="s">
        <v>125</v>
      </c>
      <c r="D162" t="s">
        <v>79</v>
      </c>
      <c r="E162" t="s">
        <v>26</v>
      </c>
      <c r="F162" t="s">
        <v>83</v>
      </c>
      <c r="G162" t="s">
        <v>104</v>
      </c>
      <c r="H162" t="s">
        <v>29</v>
      </c>
      <c r="I162">
        <v>52130</v>
      </c>
      <c r="J162">
        <v>5</v>
      </c>
      <c r="K162">
        <v>4.5</v>
      </c>
      <c r="L162">
        <v>4</v>
      </c>
      <c r="M162" t="s">
        <v>144</v>
      </c>
    </row>
    <row r="163" spans="1:13" x14ac:dyDescent="0.3">
      <c r="A163" t="s">
        <v>377</v>
      </c>
      <c r="B163" t="s">
        <v>89</v>
      </c>
      <c r="C163" t="s">
        <v>40</v>
      </c>
      <c r="D163" t="s">
        <v>86</v>
      </c>
      <c r="E163" t="s">
        <v>17</v>
      </c>
      <c r="F163" t="s">
        <v>60</v>
      </c>
      <c r="G163" t="s">
        <v>28</v>
      </c>
      <c r="H163" t="s">
        <v>29</v>
      </c>
      <c r="I163">
        <v>2560</v>
      </c>
      <c r="J163">
        <v>2</v>
      </c>
      <c r="K163">
        <v>4.8</v>
      </c>
      <c r="L163">
        <v>6</v>
      </c>
      <c r="M163" t="s">
        <v>37</v>
      </c>
    </row>
    <row r="164" spans="1:13" x14ac:dyDescent="0.3">
      <c r="A164" t="s">
        <v>378</v>
      </c>
      <c r="B164" t="s">
        <v>379</v>
      </c>
      <c r="C164" t="s">
        <v>33</v>
      </c>
      <c r="D164" t="s">
        <v>130</v>
      </c>
      <c r="E164" t="s">
        <v>35</v>
      </c>
      <c r="F164" t="s">
        <v>100</v>
      </c>
      <c r="G164" t="s">
        <v>19</v>
      </c>
      <c r="H164" t="s">
        <v>20</v>
      </c>
      <c r="I164">
        <v>512296</v>
      </c>
      <c r="J164">
        <v>8</v>
      </c>
      <c r="K164">
        <v>3.9</v>
      </c>
      <c r="L164">
        <v>7</v>
      </c>
      <c r="M164" t="s">
        <v>55</v>
      </c>
    </row>
    <row r="165" spans="1:13" x14ac:dyDescent="0.3">
      <c r="A165" t="s">
        <v>380</v>
      </c>
      <c r="B165" t="s">
        <v>381</v>
      </c>
      <c r="C165" t="s">
        <v>125</v>
      </c>
      <c r="D165" t="s">
        <v>218</v>
      </c>
      <c r="E165" t="s">
        <v>17</v>
      </c>
      <c r="F165" t="s">
        <v>100</v>
      </c>
      <c r="G165" t="s">
        <v>104</v>
      </c>
      <c r="H165" t="s">
        <v>29</v>
      </c>
      <c r="I165">
        <v>6328</v>
      </c>
      <c r="J165">
        <v>7</v>
      </c>
      <c r="K165">
        <v>3.9</v>
      </c>
      <c r="L165">
        <v>4</v>
      </c>
      <c r="M165" t="s">
        <v>30</v>
      </c>
    </row>
    <row r="166" spans="1:13" x14ac:dyDescent="0.3">
      <c r="A166" t="s">
        <v>382</v>
      </c>
      <c r="B166" t="s">
        <v>383</v>
      </c>
      <c r="C166" t="s">
        <v>112</v>
      </c>
      <c r="D166" t="s">
        <v>90</v>
      </c>
      <c r="E166" t="s">
        <v>42</v>
      </c>
      <c r="F166" t="s">
        <v>18</v>
      </c>
      <c r="G166" t="s">
        <v>54</v>
      </c>
      <c r="H166" t="s">
        <v>36</v>
      </c>
      <c r="I166">
        <v>5538</v>
      </c>
      <c r="J166">
        <v>3</v>
      </c>
      <c r="K166">
        <v>4.0999999999999996</v>
      </c>
      <c r="L166">
        <v>1</v>
      </c>
      <c r="M166" t="s">
        <v>47</v>
      </c>
    </row>
    <row r="167" spans="1:13" x14ac:dyDescent="0.3">
      <c r="A167" t="s">
        <v>384</v>
      </c>
      <c r="B167" t="s">
        <v>385</v>
      </c>
      <c r="C167" t="s">
        <v>45</v>
      </c>
      <c r="D167" t="s">
        <v>116</v>
      </c>
      <c r="E167" t="s">
        <v>17</v>
      </c>
      <c r="F167" t="s">
        <v>27</v>
      </c>
      <c r="G167" t="s">
        <v>28</v>
      </c>
      <c r="H167" t="s">
        <v>64</v>
      </c>
      <c r="I167">
        <v>1756</v>
      </c>
      <c r="J167">
        <v>4</v>
      </c>
      <c r="K167">
        <v>4</v>
      </c>
      <c r="L167">
        <v>1</v>
      </c>
      <c r="M167" t="s">
        <v>80</v>
      </c>
    </row>
    <row r="168" spans="1:13" x14ac:dyDescent="0.3">
      <c r="A168" t="s">
        <v>386</v>
      </c>
      <c r="B168" t="s">
        <v>387</v>
      </c>
      <c r="C168" t="s">
        <v>112</v>
      </c>
      <c r="D168" t="s">
        <v>16</v>
      </c>
      <c r="E168" t="s">
        <v>17</v>
      </c>
      <c r="F168" t="s">
        <v>27</v>
      </c>
      <c r="G168" t="s">
        <v>28</v>
      </c>
      <c r="H168" t="s">
        <v>20</v>
      </c>
      <c r="I168">
        <v>2268</v>
      </c>
      <c r="J168">
        <v>7</v>
      </c>
      <c r="K168">
        <v>5</v>
      </c>
      <c r="L168">
        <v>1</v>
      </c>
      <c r="M168" t="s">
        <v>65</v>
      </c>
    </row>
    <row r="169" spans="1:13" x14ac:dyDescent="0.3">
      <c r="A169" t="s">
        <v>388</v>
      </c>
      <c r="B169" t="s">
        <v>373</v>
      </c>
      <c r="C169" t="s">
        <v>50</v>
      </c>
      <c r="D169" t="s">
        <v>16</v>
      </c>
      <c r="E169" t="s">
        <v>17</v>
      </c>
      <c r="F169" t="s">
        <v>18</v>
      </c>
      <c r="G169" t="s">
        <v>104</v>
      </c>
      <c r="H169" t="s">
        <v>64</v>
      </c>
      <c r="I169">
        <v>2379</v>
      </c>
      <c r="J169">
        <v>3</v>
      </c>
      <c r="K169">
        <v>4.7</v>
      </c>
      <c r="L169">
        <v>5</v>
      </c>
      <c r="M169" t="s">
        <v>65</v>
      </c>
    </row>
    <row r="170" spans="1:13" x14ac:dyDescent="0.3">
      <c r="A170" t="s">
        <v>389</v>
      </c>
      <c r="B170" t="s">
        <v>298</v>
      </c>
      <c r="C170" t="s">
        <v>33</v>
      </c>
      <c r="D170" t="s">
        <v>159</v>
      </c>
      <c r="E170" t="s">
        <v>42</v>
      </c>
      <c r="F170" t="s">
        <v>27</v>
      </c>
      <c r="G170" t="s">
        <v>54</v>
      </c>
      <c r="H170" t="s">
        <v>20</v>
      </c>
      <c r="I170">
        <v>5860</v>
      </c>
      <c r="J170">
        <v>4</v>
      </c>
      <c r="K170">
        <v>3.9</v>
      </c>
      <c r="L170">
        <v>8</v>
      </c>
      <c r="M170" t="s">
        <v>119</v>
      </c>
    </row>
    <row r="171" spans="1:13" x14ac:dyDescent="0.3">
      <c r="A171" t="s">
        <v>390</v>
      </c>
      <c r="B171" t="s">
        <v>391</v>
      </c>
      <c r="C171" t="s">
        <v>103</v>
      </c>
      <c r="D171" t="s">
        <v>116</v>
      </c>
      <c r="E171" t="s">
        <v>17</v>
      </c>
      <c r="F171" t="s">
        <v>18</v>
      </c>
      <c r="G171" t="s">
        <v>54</v>
      </c>
      <c r="H171" t="s">
        <v>29</v>
      </c>
      <c r="I171">
        <v>8748</v>
      </c>
      <c r="J171">
        <v>6</v>
      </c>
      <c r="K171">
        <v>3.6</v>
      </c>
      <c r="L171">
        <v>8</v>
      </c>
      <c r="M171" t="s">
        <v>47</v>
      </c>
    </row>
    <row r="172" spans="1:13" x14ac:dyDescent="0.3">
      <c r="A172" t="s">
        <v>392</v>
      </c>
      <c r="B172" t="s">
        <v>393</v>
      </c>
      <c r="C172" t="s">
        <v>24</v>
      </c>
      <c r="D172" t="s">
        <v>25</v>
      </c>
      <c r="E172" t="s">
        <v>26</v>
      </c>
      <c r="F172" t="s">
        <v>100</v>
      </c>
      <c r="G172" t="s">
        <v>19</v>
      </c>
      <c r="H172" t="s">
        <v>64</v>
      </c>
      <c r="I172">
        <v>43950</v>
      </c>
      <c r="J172">
        <v>6</v>
      </c>
      <c r="K172">
        <v>4.9000000000000004</v>
      </c>
      <c r="L172">
        <v>5</v>
      </c>
      <c r="M172" t="s">
        <v>37</v>
      </c>
    </row>
    <row r="173" spans="1:13" x14ac:dyDescent="0.3">
      <c r="A173" t="s">
        <v>394</v>
      </c>
      <c r="B173" t="s">
        <v>352</v>
      </c>
      <c r="C173" t="s">
        <v>75</v>
      </c>
      <c r="D173" t="s">
        <v>59</v>
      </c>
      <c r="E173" t="s">
        <v>26</v>
      </c>
      <c r="F173" t="s">
        <v>53</v>
      </c>
      <c r="G173" t="s">
        <v>28</v>
      </c>
      <c r="H173" t="s">
        <v>29</v>
      </c>
      <c r="I173">
        <v>5037</v>
      </c>
      <c r="J173">
        <v>3</v>
      </c>
      <c r="K173">
        <v>3.4</v>
      </c>
      <c r="L173">
        <v>4</v>
      </c>
      <c r="M173" t="s">
        <v>55</v>
      </c>
    </row>
    <row r="174" spans="1:13" x14ac:dyDescent="0.3">
      <c r="A174" t="s">
        <v>395</v>
      </c>
      <c r="B174" t="s">
        <v>396</v>
      </c>
      <c r="C174" t="s">
        <v>75</v>
      </c>
      <c r="D174" t="s">
        <v>218</v>
      </c>
      <c r="E174" t="s">
        <v>17</v>
      </c>
      <c r="F174" t="s">
        <v>100</v>
      </c>
      <c r="G174" t="s">
        <v>104</v>
      </c>
      <c r="H174" t="s">
        <v>20</v>
      </c>
      <c r="I174">
        <v>6136</v>
      </c>
      <c r="J174">
        <v>8</v>
      </c>
      <c r="K174">
        <v>3.5</v>
      </c>
      <c r="L174">
        <v>7</v>
      </c>
      <c r="M174" t="s">
        <v>47</v>
      </c>
    </row>
    <row r="175" spans="1:13" x14ac:dyDescent="0.3">
      <c r="A175" t="s">
        <v>397</v>
      </c>
      <c r="B175" t="s">
        <v>398</v>
      </c>
      <c r="C175" t="s">
        <v>40</v>
      </c>
      <c r="D175" t="s">
        <v>16</v>
      </c>
      <c r="E175" t="s">
        <v>17</v>
      </c>
      <c r="F175" t="s">
        <v>60</v>
      </c>
      <c r="G175" t="s">
        <v>104</v>
      </c>
      <c r="H175" t="s">
        <v>29</v>
      </c>
      <c r="I175">
        <v>3234</v>
      </c>
      <c r="J175">
        <v>3</v>
      </c>
      <c r="K175">
        <v>3.4</v>
      </c>
      <c r="L175">
        <v>1</v>
      </c>
      <c r="M175" t="s">
        <v>21</v>
      </c>
    </row>
    <row r="176" spans="1:13" x14ac:dyDescent="0.3">
      <c r="A176" t="s">
        <v>399</v>
      </c>
      <c r="B176" t="s">
        <v>400</v>
      </c>
      <c r="C176" t="s">
        <v>75</v>
      </c>
      <c r="D176" t="s">
        <v>86</v>
      </c>
      <c r="E176" t="s">
        <v>17</v>
      </c>
      <c r="F176" t="s">
        <v>53</v>
      </c>
      <c r="G176" t="s">
        <v>54</v>
      </c>
      <c r="H176" t="s">
        <v>29</v>
      </c>
      <c r="I176">
        <v>3546</v>
      </c>
      <c r="J176">
        <v>3</v>
      </c>
      <c r="K176">
        <v>3.9</v>
      </c>
      <c r="L176">
        <v>1</v>
      </c>
      <c r="M176" t="s">
        <v>87</v>
      </c>
    </row>
    <row r="177" spans="1:13" x14ac:dyDescent="0.3">
      <c r="A177" t="s">
        <v>401</v>
      </c>
      <c r="B177" t="s">
        <v>402</v>
      </c>
      <c r="C177" t="s">
        <v>24</v>
      </c>
      <c r="D177" t="s">
        <v>41</v>
      </c>
      <c r="E177" t="s">
        <v>42</v>
      </c>
      <c r="F177" t="s">
        <v>83</v>
      </c>
      <c r="G177" t="s">
        <v>104</v>
      </c>
      <c r="H177" t="s">
        <v>29</v>
      </c>
      <c r="I177">
        <v>18816</v>
      </c>
      <c r="J177">
        <v>7</v>
      </c>
      <c r="K177">
        <v>4.0999999999999996</v>
      </c>
      <c r="L177">
        <v>7</v>
      </c>
      <c r="M177" t="s">
        <v>21</v>
      </c>
    </row>
    <row r="178" spans="1:13" x14ac:dyDescent="0.3">
      <c r="A178" t="s">
        <v>403</v>
      </c>
      <c r="B178" t="s">
        <v>404</v>
      </c>
      <c r="C178" t="s">
        <v>129</v>
      </c>
      <c r="D178" t="s">
        <v>97</v>
      </c>
      <c r="E178" t="s">
        <v>35</v>
      </c>
      <c r="F178" t="s">
        <v>53</v>
      </c>
      <c r="G178" t="s">
        <v>19</v>
      </c>
      <c r="H178" t="s">
        <v>64</v>
      </c>
      <c r="I178">
        <v>77340</v>
      </c>
      <c r="J178">
        <v>2</v>
      </c>
      <c r="K178">
        <v>4.0999999999999996</v>
      </c>
      <c r="L178">
        <v>2</v>
      </c>
      <c r="M178" t="s">
        <v>80</v>
      </c>
    </row>
    <row r="179" spans="1:13" x14ac:dyDescent="0.3">
      <c r="A179" t="s">
        <v>405</v>
      </c>
      <c r="B179" t="s">
        <v>406</v>
      </c>
      <c r="C179" t="s">
        <v>170</v>
      </c>
      <c r="D179" t="s">
        <v>79</v>
      </c>
      <c r="E179" t="s">
        <v>26</v>
      </c>
      <c r="F179" t="s">
        <v>60</v>
      </c>
      <c r="G179" t="s">
        <v>104</v>
      </c>
      <c r="H179" t="s">
        <v>64</v>
      </c>
      <c r="I179">
        <v>12486</v>
      </c>
      <c r="J179">
        <v>2</v>
      </c>
      <c r="K179">
        <v>4.7</v>
      </c>
      <c r="L179">
        <v>7</v>
      </c>
      <c r="M179" t="s">
        <v>47</v>
      </c>
    </row>
    <row r="180" spans="1:13" x14ac:dyDescent="0.3">
      <c r="A180" t="s">
        <v>407</v>
      </c>
      <c r="B180" t="s">
        <v>408</v>
      </c>
      <c r="C180" t="s">
        <v>40</v>
      </c>
      <c r="D180" t="s">
        <v>79</v>
      </c>
      <c r="E180" t="s">
        <v>26</v>
      </c>
      <c r="F180" t="s">
        <v>27</v>
      </c>
      <c r="G180" t="s">
        <v>28</v>
      </c>
      <c r="H180" t="s">
        <v>20</v>
      </c>
      <c r="I180">
        <v>22260</v>
      </c>
      <c r="J180">
        <v>6</v>
      </c>
      <c r="K180">
        <v>4.9000000000000004</v>
      </c>
      <c r="L180">
        <v>6</v>
      </c>
      <c r="M180" t="s">
        <v>126</v>
      </c>
    </row>
    <row r="181" spans="1:13" x14ac:dyDescent="0.3">
      <c r="A181" t="s">
        <v>409</v>
      </c>
      <c r="B181" t="s">
        <v>237</v>
      </c>
      <c r="C181" t="s">
        <v>78</v>
      </c>
      <c r="D181" t="s">
        <v>97</v>
      </c>
      <c r="E181" t="s">
        <v>35</v>
      </c>
      <c r="F181" t="s">
        <v>18</v>
      </c>
      <c r="G181" t="s">
        <v>28</v>
      </c>
      <c r="H181" t="s">
        <v>20</v>
      </c>
      <c r="I181">
        <v>534835</v>
      </c>
      <c r="J181">
        <v>7</v>
      </c>
      <c r="K181">
        <v>5</v>
      </c>
      <c r="L181">
        <v>3</v>
      </c>
      <c r="M181" t="s">
        <v>21</v>
      </c>
    </row>
    <row r="182" spans="1:13" x14ac:dyDescent="0.3">
      <c r="A182" t="s">
        <v>410</v>
      </c>
      <c r="B182" t="s">
        <v>411</v>
      </c>
      <c r="C182" t="s">
        <v>133</v>
      </c>
      <c r="D182" t="s">
        <v>46</v>
      </c>
      <c r="E182" t="s">
        <v>42</v>
      </c>
      <c r="F182" t="s">
        <v>60</v>
      </c>
      <c r="G182" t="s">
        <v>54</v>
      </c>
      <c r="H182" t="s">
        <v>64</v>
      </c>
      <c r="I182">
        <v>11776</v>
      </c>
      <c r="J182">
        <v>2</v>
      </c>
      <c r="K182">
        <v>3.6</v>
      </c>
      <c r="L182">
        <v>3</v>
      </c>
      <c r="M182" t="s">
        <v>119</v>
      </c>
    </row>
    <row r="183" spans="1:13" x14ac:dyDescent="0.3">
      <c r="A183" t="s">
        <v>412</v>
      </c>
      <c r="B183" t="s">
        <v>413</v>
      </c>
      <c r="C183" t="s">
        <v>78</v>
      </c>
      <c r="D183" t="s">
        <v>69</v>
      </c>
      <c r="E183" t="s">
        <v>26</v>
      </c>
      <c r="F183" t="s">
        <v>100</v>
      </c>
      <c r="G183" t="s">
        <v>54</v>
      </c>
      <c r="H183" t="s">
        <v>36</v>
      </c>
      <c r="I183">
        <v>9814</v>
      </c>
      <c r="J183">
        <v>7</v>
      </c>
      <c r="K183">
        <v>4.5999999999999996</v>
      </c>
      <c r="L183">
        <v>6</v>
      </c>
      <c r="M183" t="s">
        <v>30</v>
      </c>
    </row>
    <row r="184" spans="1:13" x14ac:dyDescent="0.3">
      <c r="A184" t="s">
        <v>414</v>
      </c>
      <c r="B184" t="s">
        <v>415</v>
      </c>
      <c r="C184" t="s">
        <v>122</v>
      </c>
      <c r="D184" t="s">
        <v>109</v>
      </c>
      <c r="E184" t="s">
        <v>52</v>
      </c>
      <c r="F184" t="s">
        <v>100</v>
      </c>
      <c r="G184" t="s">
        <v>19</v>
      </c>
      <c r="H184" t="s">
        <v>64</v>
      </c>
      <c r="I184">
        <v>1886</v>
      </c>
      <c r="J184">
        <v>1</v>
      </c>
      <c r="K184">
        <v>3.2</v>
      </c>
      <c r="L184">
        <v>5</v>
      </c>
      <c r="M184" t="s">
        <v>80</v>
      </c>
    </row>
    <row r="185" spans="1:13" x14ac:dyDescent="0.3">
      <c r="A185" t="s">
        <v>416</v>
      </c>
      <c r="B185" t="s">
        <v>172</v>
      </c>
      <c r="C185" t="s">
        <v>68</v>
      </c>
      <c r="D185" t="s">
        <v>97</v>
      </c>
      <c r="E185" t="s">
        <v>35</v>
      </c>
      <c r="F185" t="s">
        <v>27</v>
      </c>
      <c r="G185" t="s">
        <v>19</v>
      </c>
      <c r="H185" t="s">
        <v>29</v>
      </c>
      <c r="I185">
        <v>197331</v>
      </c>
      <c r="J185">
        <v>3</v>
      </c>
      <c r="K185">
        <v>3.9</v>
      </c>
      <c r="L185">
        <v>2</v>
      </c>
      <c r="M185" t="s">
        <v>47</v>
      </c>
    </row>
    <row r="186" spans="1:13" x14ac:dyDescent="0.3">
      <c r="A186" t="s">
        <v>417</v>
      </c>
      <c r="B186" t="s">
        <v>418</v>
      </c>
      <c r="C186" t="s">
        <v>170</v>
      </c>
      <c r="D186" t="s">
        <v>130</v>
      </c>
      <c r="E186" t="s">
        <v>35</v>
      </c>
      <c r="F186" t="s">
        <v>18</v>
      </c>
      <c r="G186" t="s">
        <v>104</v>
      </c>
      <c r="H186" t="s">
        <v>36</v>
      </c>
      <c r="I186">
        <v>192608</v>
      </c>
      <c r="J186">
        <v>4</v>
      </c>
      <c r="K186">
        <v>4</v>
      </c>
      <c r="L186">
        <v>8</v>
      </c>
      <c r="M186" t="s">
        <v>47</v>
      </c>
    </row>
    <row r="187" spans="1:13" x14ac:dyDescent="0.3">
      <c r="A187" t="s">
        <v>419</v>
      </c>
      <c r="B187" t="s">
        <v>420</v>
      </c>
      <c r="C187" t="s">
        <v>78</v>
      </c>
      <c r="D187" t="s">
        <v>16</v>
      </c>
      <c r="E187" t="s">
        <v>17</v>
      </c>
      <c r="F187" t="s">
        <v>60</v>
      </c>
      <c r="G187" t="s">
        <v>28</v>
      </c>
      <c r="H187" t="s">
        <v>20</v>
      </c>
      <c r="I187">
        <v>3372</v>
      </c>
      <c r="J187">
        <v>2</v>
      </c>
      <c r="K187">
        <v>4.2</v>
      </c>
      <c r="L187">
        <v>6</v>
      </c>
      <c r="M187" t="s">
        <v>126</v>
      </c>
    </row>
    <row r="188" spans="1:13" x14ac:dyDescent="0.3">
      <c r="A188" t="s">
        <v>421</v>
      </c>
      <c r="B188" t="s">
        <v>422</v>
      </c>
      <c r="C188" t="s">
        <v>15</v>
      </c>
      <c r="D188" t="s">
        <v>159</v>
      </c>
      <c r="E188" t="s">
        <v>42</v>
      </c>
      <c r="F188" t="s">
        <v>27</v>
      </c>
      <c r="G188" t="s">
        <v>19</v>
      </c>
      <c r="H188" t="s">
        <v>20</v>
      </c>
      <c r="I188">
        <v>16212</v>
      </c>
      <c r="J188">
        <v>7</v>
      </c>
      <c r="K188">
        <v>4.3</v>
      </c>
      <c r="L188">
        <v>7</v>
      </c>
      <c r="M188" t="s">
        <v>37</v>
      </c>
    </row>
    <row r="189" spans="1:13" x14ac:dyDescent="0.3">
      <c r="A189" t="s">
        <v>423</v>
      </c>
      <c r="B189" t="s">
        <v>424</v>
      </c>
      <c r="C189" t="s">
        <v>125</v>
      </c>
      <c r="D189" t="s">
        <v>113</v>
      </c>
      <c r="E189" t="s">
        <v>35</v>
      </c>
      <c r="F189" t="s">
        <v>100</v>
      </c>
      <c r="G189" t="s">
        <v>104</v>
      </c>
      <c r="H189" t="s">
        <v>64</v>
      </c>
      <c r="I189">
        <v>100890</v>
      </c>
      <c r="J189">
        <v>2</v>
      </c>
      <c r="K189">
        <v>4</v>
      </c>
      <c r="L189">
        <v>5</v>
      </c>
      <c r="M189" t="s">
        <v>30</v>
      </c>
    </row>
    <row r="190" spans="1:13" x14ac:dyDescent="0.3">
      <c r="A190" t="s">
        <v>425</v>
      </c>
      <c r="B190" t="s">
        <v>222</v>
      </c>
      <c r="C190" t="s">
        <v>45</v>
      </c>
      <c r="D190" t="s">
        <v>69</v>
      </c>
      <c r="E190" t="s">
        <v>26</v>
      </c>
      <c r="F190" t="s">
        <v>100</v>
      </c>
      <c r="G190" t="s">
        <v>54</v>
      </c>
      <c r="H190" t="s">
        <v>20</v>
      </c>
      <c r="I190">
        <v>7252</v>
      </c>
      <c r="J190">
        <v>2</v>
      </c>
      <c r="K190">
        <v>4.7</v>
      </c>
      <c r="L190">
        <v>5</v>
      </c>
      <c r="M190" t="s">
        <v>30</v>
      </c>
    </row>
    <row r="191" spans="1:13" x14ac:dyDescent="0.3">
      <c r="A191" t="s">
        <v>426</v>
      </c>
      <c r="B191" t="s">
        <v>427</v>
      </c>
      <c r="C191" t="s">
        <v>58</v>
      </c>
      <c r="D191" t="s">
        <v>113</v>
      </c>
      <c r="E191" t="s">
        <v>35</v>
      </c>
      <c r="F191" t="s">
        <v>60</v>
      </c>
      <c r="G191" t="s">
        <v>28</v>
      </c>
      <c r="H191" t="s">
        <v>20</v>
      </c>
      <c r="I191">
        <v>257145</v>
      </c>
      <c r="J191">
        <v>5</v>
      </c>
      <c r="K191">
        <v>3.9</v>
      </c>
      <c r="L191">
        <v>3</v>
      </c>
      <c r="M191" t="s">
        <v>21</v>
      </c>
    </row>
    <row r="192" spans="1:13" x14ac:dyDescent="0.3">
      <c r="A192" t="s">
        <v>428</v>
      </c>
      <c r="B192" t="s">
        <v>429</v>
      </c>
      <c r="C192" t="s">
        <v>129</v>
      </c>
      <c r="D192" t="s">
        <v>159</v>
      </c>
      <c r="E192" t="s">
        <v>42</v>
      </c>
      <c r="F192" t="s">
        <v>18</v>
      </c>
      <c r="G192" t="s">
        <v>28</v>
      </c>
      <c r="H192" t="s">
        <v>20</v>
      </c>
      <c r="I192">
        <v>6696</v>
      </c>
      <c r="J192">
        <v>3</v>
      </c>
      <c r="K192">
        <v>4.7</v>
      </c>
      <c r="L192">
        <v>1</v>
      </c>
      <c r="M192" t="s">
        <v>30</v>
      </c>
    </row>
    <row r="193" spans="1:13" x14ac:dyDescent="0.3">
      <c r="A193" t="s">
        <v>430</v>
      </c>
      <c r="B193" t="s">
        <v>23</v>
      </c>
      <c r="C193" t="s">
        <v>122</v>
      </c>
      <c r="D193" t="s">
        <v>51</v>
      </c>
      <c r="E193" t="s">
        <v>52</v>
      </c>
      <c r="F193" t="s">
        <v>53</v>
      </c>
      <c r="G193" t="s">
        <v>54</v>
      </c>
      <c r="H193" t="s">
        <v>29</v>
      </c>
      <c r="I193">
        <v>18112</v>
      </c>
      <c r="J193">
        <v>8</v>
      </c>
      <c r="K193">
        <v>3.5</v>
      </c>
      <c r="L193">
        <v>1</v>
      </c>
      <c r="M193" t="s">
        <v>30</v>
      </c>
    </row>
    <row r="194" spans="1:13" x14ac:dyDescent="0.3">
      <c r="A194" t="s">
        <v>431</v>
      </c>
      <c r="B194" t="s">
        <v>432</v>
      </c>
      <c r="C194" t="s">
        <v>78</v>
      </c>
      <c r="D194" t="s">
        <v>109</v>
      </c>
      <c r="E194" t="s">
        <v>52</v>
      </c>
      <c r="F194" t="s">
        <v>53</v>
      </c>
      <c r="G194" t="s">
        <v>54</v>
      </c>
      <c r="H194" t="s">
        <v>64</v>
      </c>
      <c r="I194">
        <v>18224</v>
      </c>
      <c r="J194">
        <v>8</v>
      </c>
      <c r="K194">
        <v>4.2</v>
      </c>
      <c r="L194">
        <v>5</v>
      </c>
      <c r="M194" t="s">
        <v>80</v>
      </c>
    </row>
    <row r="195" spans="1:13" x14ac:dyDescent="0.3">
      <c r="A195" t="s">
        <v>433</v>
      </c>
      <c r="B195" t="s">
        <v>434</v>
      </c>
      <c r="C195" t="s">
        <v>146</v>
      </c>
      <c r="D195" t="s">
        <v>79</v>
      </c>
      <c r="E195" t="s">
        <v>26</v>
      </c>
      <c r="F195" t="s">
        <v>18</v>
      </c>
      <c r="G195" t="s">
        <v>19</v>
      </c>
      <c r="H195" t="s">
        <v>20</v>
      </c>
      <c r="I195">
        <v>16336</v>
      </c>
      <c r="J195">
        <v>2</v>
      </c>
      <c r="K195">
        <v>3.7</v>
      </c>
      <c r="L195">
        <v>2</v>
      </c>
      <c r="M195" t="s">
        <v>47</v>
      </c>
    </row>
    <row r="196" spans="1:13" x14ac:dyDescent="0.3">
      <c r="A196" t="s">
        <v>435</v>
      </c>
      <c r="B196" t="s">
        <v>436</v>
      </c>
      <c r="C196" t="s">
        <v>45</v>
      </c>
      <c r="D196" t="s">
        <v>59</v>
      </c>
      <c r="E196" t="s">
        <v>26</v>
      </c>
      <c r="F196" t="s">
        <v>100</v>
      </c>
      <c r="G196" t="s">
        <v>19</v>
      </c>
      <c r="H196" t="s">
        <v>29</v>
      </c>
      <c r="I196">
        <v>12404</v>
      </c>
      <c r="J196">
        <v>7</v>
      </c>
      <c r="K196">
        <v>4.2</v>
      </c>
      <c r="L196">
        <v>5</v>
      </c>
      <c r="M196" t="s">
        <v>119</v>
      </c>
    </row>
    <row r="197" spans="1:13" x14ac:dyDescent="0.3">
      <c r="A197" t="s">
        <v>437</v>
      </c>
      <c r="B197" t="s">
        <v>252</v>
      </c>
      <c r="C197" t="s">
        <v>72</v>
      </c>
      <c r="D197" t="s">
        <v>130</v>
      </c>
      <c r="E197" t="s">
        <v>35</v>
      </c>
      <c r="F197" t="s">
        <v>83</v>
      </c>
      <c r="G197" t="s">
        <v>19</v>
      </c>
      <c r="H197" t="s">
        <v>29</v>
      </c>
      <c r="I197">
        <v>101355</v>
      </c>
      <c r="J197">
        <v>5</v>
      </c>
      <c r="K197">
        <v>5</v>
      </c>
      <c r="L197">
        <v>3</v>
      </c>
      <c r="M197" t="s">
        <v>30</v>
      </c>
    </row>
    <row r="198" spans="1:13" x14ac:dyDescent="0.3">
      <c r="A198" t="s">
        <v>438</v>
      </c>
      <c r="B198" t="s">
        <v>74</v>
      </c>
      <c r="C198" t="s">
        <v>50</v>
      </c>
      <c r="D198" t="s">
        <v>51</v>
      </c>
      <c r="E198" t="s">
        <v>52</v>
      </c>
      <c r="F198" t="s">
        <v>100</v>
      </c>
      <c r="G198" t="s">
        <v>104</v>
      </c>
      <c r="H198" t="s">
        <v>29</v>
      </c>
      <c r="I198">
        <v>4050</v>
      </c>
      <c r="J198">
        <v>3</v>
      </c>
      <c r="K198">
        <v>4</v>
      </c>
      <c r="L198">
        <v>2</v>
      </c>
      <c r="M198" t="s">
        <v>65</v>
      </c>
    </row>
    <row r="199" spans="1:13" x14ac:dyDescent="0.3">
      <c r="A199" t="s">
        <v>439</v>
      </c>
      <c r="B199" t="s">
        <v>440</v>
      </c>
      <c r="C199" t="s">
        <v>78</v>
      </c>
      <c r="D199" t="s">
        <v>90</v>
      </c>
      <c r="E199" t="s">
        <v>42</v>
      </c>
      <c r="F199" t="s">
        <v>60</v>
      </c>
      <c r="G199" t="s">
        <v>19</v>
      </c>
      <c r="H199" t="s">
        <v>64</v>
      </c>
      <c r="I199">
        <v>5900</v>
      </c>
      <c r="J199">
        <v>1</v>
      </c>
      <c r="K199">
        <v>4.5</v>
      </c>
      <c r="L199">
        <v>2</v>
      </c>
      <c r="M199" t="s">
        <v>126</v>
      </c>
    </row>
    <row r="200" spans="1:13" x14ac:dyDescent="0.3">
      <c r="A200" t="s">
        <v>441</v>
      </c>
      <c r="B200" t="s">
        <v>398</v>
      </c>
      <c r="C200" t="s">
        <v>170</v>
      </c>
      <c r="D200" t="s">
        <v>51</v>
      </c>
      <c r="E200" t="s">
        <v>52</v>
      </c>
      <c r="F200" t="s">
        <v>27</v>
      </c>
      <c r="G200" t="s">
        <v>54</v>
      </c>
      <c r="H200" t="s">
        <v>36</v>
      </c>
      <c r="I200">
        <v>9798</v>
      </c>
      <c r="J200">
        <v>6</v>
      </c>
      <c r="K200">
        <v>4.2</v>
      </c>
      <c r="L200">
        <v>8</v>
      </c>
      <c r="M200" t="s">
        <v>21</v>
      </c>
    </row>
    <row r="201" spans="1:13" x14ac:dyDescent="0.3">
      <c r="A201" t="s">
        <v>442</v>
      </c>
      <c r="B201" t="s">
        <v>296</v>
      </c>
      <c r="C201" t="s">
        <v>40</v>
      </c>
      <c r="D201" t="s">
        <v>116</v>
      </c>
      <c r="E201" t="s">
        <v>17</v>
      </c>
      <c r="F201" t="s">
        <v>83</v>
      </c>
      <c r="G201" t="s">
        <v>104</v>
      </c>
      <c r="H201" t="s">
        <v>36</v>
      </c>
      <c r="I201">
        <v>1246</v>
      </c>
      <c r="J201">
        <v>2</v>
      </c>
      <c r="K201">
        <v>3.6</v>
      </c>
      <c r="L201">
        <v>3</v>
      </c>
      <c r="M201" t="s">
        <v>144</v>
      </c>
    </row>
    <row r="202" spans="1:13" x14ac:dyDescent="0.3">
      <c r="A202" t="s">
        <v>443</v>
      </c>
      <c r="B202" t="s">
        <v>444</v>
      </c>
      <c r="C202" t="s">
        <v>133</v>
      </c>
      <c r="D202" t="s">
        <v>130</v>
      </c>
      <c r="E202" t="s">
        <v>35</v>
      </c>
      <c r="F202" t="s">
        <v>27</v>
      </c>
      <c r="G202" t="s">
        <v>54</v>
      </c>
      <c r="H202" t="s">
        <v>36</v>
      </c>
      <c r="I202">
        <v>55722</v>
      </c>
      <c r="J202">
        <v>6</v>
      </c>
      <c r="K202">
        <v>3.7</v>
      </c>
      <c r="L202">
        <v>4</v>
      </c>
      <c r="M202" t="s">
        <v>87</v>
      </c>
    </row>
    <row r="203" spans="1:13" x14ac:dyDescent="0.3">
      <c r="A203" t="s">
        <v>445</v>
      </c>
      <c r="B203" t="s">
        <v>446</v>
      </c>
      <c r="C203" t="s">
        <v>68</v>
      </c>
      <c r="D203" t="s">
        <v>86</v>
      </c>
      <c r="E203" t="s">
        <v>17</v>
      </c>
      <c r="F203" t="s">
        <v>60</v>
      </c>
      <c r="G203" t="s">
        <v>19</v>
      </c>
      <c r="H203" t="s">
        <v>64</v>
      </c>
      <c r="I203">
        <v>1142</v>
      </c>
      <c r="J203">
        <v>2</v>
      </c>
      <c r="K203">
        <v>3.2</v>
      </c>
      <c r="L203">
        <v>6</v>
      </c>
      <c r="M203" t="s">
        <v>65</v>
      </c>
    </row>
    <row r="204" spans="1:13" x14ac:dyDescent="0.3">
      <c r="A204" t="s">
        <v>447</v>
      </c>
      <c r="B204" t="s">
        <v>352</v>
      </c>
      <c r="C204" t="s">
        <v>50</v>
      </c>
      <c r="D204" t="s">
        <v>86</v>
      </c>
      <c r="E204" t="s">
        <v>17</v>
      </c>
      <c r="F204" t="s">
        <v>83</v>
      </c>
      <c r="G204" t="s">
        <v>19</v>
      </c>
      <c r="H204" t="s">
        <v>36</v>
      </c>
      <c r="I204">
        <v>3592</v>
      </c>
      <c r="J204">
        <v>2</v>
      </c>
      <c r="K204">
        <v>4.8</v>
      </c>
      <c r="L204">
        <v>3</v>
      </c>
      <c r="M204" t="s">
        <v>55</v>
      </c>
    </row>
    <row r="205" spans="1:13" x14ac:dyDescent="0.3">
      <c r="A205" t="s">
        <v>448</v>
      </c>
      <c r="B205" t="s">
        <v>233</v>
      </c>
      <c r="C205" t="s">
        <v>179</v>
      </c>
      <c r="D205" t="s">
        <v>25</v>
      </c>
      <c r="E205" t="s">
        <v>26</v>
      </c>
      <c r="F205" t="s">
        <v>18</v>
      </c>
      <c r="G205" t="s">
        <v>54</v>
      </c>
      <c r="H205" t="s">
        <v>20</v>
      </c>
      <c r="I205">
        <v>9840</v>
      </c>
      <c r="J205">
        <v>3</v>
      </c>
      <c r="K205">
        <v>4.9000000000000004</v>
      </c>
      <c r="L205">
        <v>8</v>
      </c>
      <c r="M205" t="s">
        <v>192</v>
      </c>
    </row>
    <row r="206" spans="1:13" x14ac:dyDescent="0.3">
      <c r="A206" t="s">
        <v>449</v>
      </c>
      <c r="B206" t="s">
        <v>450</v>
      </c>
      <c r="C206" t="s">
        <v>15</v>
      </c>
      <c r="D206" t="s">
        <v>116</v>
      </c>
      <c r="E206" t="s">
        <v>17</v>
      </c>
      <c r="F206" t="s">
        <v>27</v>
      </c>
      <c r="G206" t="s">
        <v>104</v>
      </c>
      <c r="H206" t="s">
        <v>20</v>
      </c>
      <c r="I206">
        <v>6608</v>
      </c>
      <c r="J206">
        <v>7</v>
      </c>
      <c r="K206">
        <v>3.4</v>
      </c>
      <c r="L206">
        <v>5</v>
      </c>
      <c r="M206" t="s">
        <v>126</v>
      </c>
    </row>
    <row r="207" spans="1:13" x14ac:dyDescent="0.3">
      <c r="A207" t="s">
        <v>451</v>
      </c>
      <c r="B207" t="s">
        <v>452</v>
      </c>
      <c r="C207" t="s">
        <v>45</v>
      </c>
      <c r="D207" t="s">
        <v>79</v>
      </c>
      <c r="E207" t="s">
        <v>26</v>
      </c>
      <c r="F207" t="s">
        <v>18</v>
      </c>
      <c r="G207" t="s">
        <v>54</v>
      </c>
      <c r="H207" t="s">
        <v>29</v>
      </c>
      <c r="I207">
        <v>35610</v>
      </c>
      <c r="J207">
        <v>5</v>
      </c>
      <c r="K207">
        <v>3.4</v>
      </c>
      <c r="L207">
        <v>8</v>
      </c>
      <c r="M207" t="s">
        <v>55</v>
      </c>
    </row>
    <row r="208" spans="1:13" x14ac:dyDescent="0.3">
      <c r="A208" t="s">
        <v>453</v>
      </c>
      <c r="B208" t="s">
        <v>454</v>
      </c>
      <c r="C208" t="s">
        <v>15</v>
      </c>
      <c r="D208" t="s">
        <v>34</v>
      </c>
      <c r="E208" t="s">
        <v>35</v>
      </c>
      <c r="F208" t="s">
        <v>53</v>
      </c>
      <c r="G208" t="s">
        <v>19</v>
      </c>
      <c r="H208" t="s">
        <v>36</v>
      </c>
      <c r="I208">
        <v>176015</v>
      </c>
      <c r="J208">
        <v>7</v>
      </c>
      <c r="K208">
        <v>3.2</v>
      </c>
      <c r="L208">
        <v>2</v>
      </c>
      <c r="M208" t="s">
        <v>55</v>
      </c>
    </row>
    <row r="209" spans="1:13" x14ac:dyDescent="0.3">
      <c r="A209" t="s">
        <v>455</v>
      </c>
      <c r="B209" t="s">
        <v>456</v>
      </c>
      <c r="C209" t="s">
        <v>103</v>
      </c>
      <c r="D209" t="s">
        <v>116</v>
      </c>
      <c r="E209" t="s">
        <v>17</v>
      </c>
      <c r="F209" t="s">
        <v>18</v>
      </c>
      <c r="G209" t="s">
        <v>104</v>
      </c>
      <c r="H209" t="s">
        <v>36</v>
      </c>
      <c r="I209">
        <v>7935</v>
      </c>
      <c r="J209">
        <v>5</v>
      </c>
      <c r="K209">
        <v>3.3</v>
      </c>
      <c r="L209">
        <v>3</v>
      </c>
      <c r="M209" t="s">
        <v>65</v>
      </c>
    </row>
    <row r="210" spans="1:13" x14ac:dyDescent="0.3">
      <c r="A210" t="s">
        <v>457</v>
      </c>
      <c r="B210" t="s">
        <v>458</v>
      </c>
      <c r="C210" t="s">
        <v>133</v>
      </c>
      <c r="D210" t="s">
        <v>79</v>
      </c>
      <c r="E210" t="s">
        <v>26</v>
      </c>
      <c r="F210" t="s">
        <v>18</v>
      </c>
      <c r="G210" t="s">
        <v>28</v>
      </c>
      <c r="H210" t="s">
        <v>36</v>
      </c>
      <c r="I210">
        <v>28254</v>
      </c>
      <c r="J210">
        <v>6</v>
      </c>
      <c r="K210">
        <v>3.3</v>
      </c>
      <c r="L210">
        <v>2</v>
      </c>
      <c r="M210" t="s">
        <v>80</v>
      </c>
    </row>
    <row r="211" spans="1:13" x14ac:dyDescent="0.3">
      <c r="A211" t="s">
        <v>459</v>
      </c>
      <c r="B211" t="s">
        <v>460</v>
      </c>
      <c r="C211" t="s">
        <v>24</v>
      </c>
      <c r="D211" t="s">
        <v>34</v>
      </c>
      <c r="E211" t="s">
        <v>35</v>
      </c>
      <c r="F211" t="s">
        <v>53</v>
      </c>
      <c r="G211" t="s">
        <v>19</v>
      </c>
      <c r="H211" t="s">
        <v>29</v>
      </c>
      <c r="I211">
        <v>3987</v>
      </c>
      <c r="J211">
        <v>1</v>
      </c>
      <c r="K211">
        <v>4.9000000000000004</v>
      </c>
      <c r="L211">
        <v>5</v>
      </c>
      <c r="M211" t="s">
        <v>80</v>
      </c>
    </row>
    <row r="212" spans="1:13" x14ac:dyDescent="0.3">
      <c r="A212" t="s">
        <v>461</v>
      </c>
      <c r="B212" t="s">
        <v>462</v>
      </c>
      <c r="C212" t="s">
        <v>146</v>
      </c>
      <c r="D212" t="s">
        <v>16</v>
      </c>
      <c r="E212" t="s">
        <v>17</v>
      </c>
      <c r="F212" t="s">
        <v>100</v>
      </c>
      <c r="G212" t="s">
        <v>104</v>
      </c>
      <c r="H212" t="s">
        <v>36</v>
      </c>
      <c r="I212">
        <v>5999</v>
      </c>
      <c r="J212">
        <v>7</v>
      </c>
      <c r="K212">
        <v>4.3</v>
      </c>
      <c r="L212">
        <v>8</v>
      </c>
      <c r="M212" t="s">
        <v>126</v>
      </c>
    </row>
    <row r="213" spans="1:13" x14ac:dyDescent="0.3">
      <c r="A213" t="s">
        <v>463</v>
      </c>
      <c r="B213" t="s">
        <v>334</v>
      </c>
      <c r="C213" t="s">
        <v>33</v>
      </c>
      <c r="D213" t="s">
        <v>159</v>
      </c>
      <c r="E213" t="s">
        <v>42</v>
      </c>
      <c r="F213" t="s">
        <v>18</v>
      </c>
      <c r="G213" t="s">
        <v>19</v>
      </c>
      <c r="H213" t="s">
        <v>36</v>
      </c>
      <c r="I213">
        <v>4932</v>
      </c>
      <c r="J213">
        <v>3</v>
      </c>
      <c r="K213">
        <v>4.5</v>
      </c>
      <c r="L213">
        <v>1</v>
      </c>
      <c r="M213" t="s">
        <v>55</v>
      </c>
    </row>
    <row r="214" spans="1:13" x14ac:dyDescent="0.3">
      <c r="A214" t="s">
        <v>464</v>
      </c>
      <c r="B214" t="s">
        <v>352</v>
      </c>
      <c r="C214" t="s">
        <v>170</v>
      </c>
      <c r="D214" t="s">
        <v>46</v>
      </c>
      <c r="E214" t="s">
        <v>42</v>
      </c>
      <c r="F214" t="s">
        <v>53</v>
      </c>
      <c r="G214" t="s">
        <v>54</v>
      </c>
      <c r="H214" t="s">
        <v>29</v>
      </c>
      <c r="I214">
        <v>12405</v>
      </c>
      <c r="J214">
        <v>3</v>
      </c>
      <c r="K214">
        <v>3.8</v>
      </c>
      <c r="L214">
        <v>7</v>
      </c>
      <c r="M214" t="s">
        <v>55</v>
      </c>
    </row>
    <row r="215" spans="1:13" x14ac:dyDescent="0.3">
      <c r="A215" t="s">
        <v>465</v>
      </c>
      <c r="B215" t="s">
        <v>393</v>
      </c>
      <c r="C215" t="s">
        <v>170</v>
      </c>
      <c r="D215" t="s">
        <v>16</v>
      </c>
      <c r="E215" t="s">
        <v>17</v>
      </c>
      <c r="F215" t="s">
        <v>18</v>
      </c>
      <c r="G215" t="s">
        <v>28</v>
      </c>
      <c r="H215" t="s">
        <v>36</v>
      </c>
      <c r="I215">
        <v>5424</v>
      </c>
      <c r="J215">
        <v>4</v>
      </c>
      <c r="K215">
        <v>4.8</v>
      </c>
      <c r="L215">
        <v>5</v>
      </c>
      <c r="M215" t="s">
        <v>37</v>
      </c>
    </row>
    <row r="216" spans="1:13" x14ac:dyDescent="0.3">
      <c r="A216" t="s">
        <v>466</v>
      </c>
      <c r="B216" t="s">
        <v>402</v>
      </c>
      <c r="C216" t="s">
        <v>78</v>
      </c>
      <c r="D216" t="s">
        <v>34</v>
      </c>
      <c r="E216" t="s">
        <v>35</v>
      </c>
      <c r="F216" t="s">
        <v>83</v>
      </c>
      <c r="G216" t="s">
        <v>19</v>
      </c>
      <c r="H216" t="s">
        <v>36</v>
      </c>
      <c r="I216">
        <v>316535</v>
      </c>
      <c r="J216">
        <v>5</v>
      </c>
      <c r="K216">
        <v>4.9000000000000004</v>
      </c>
      <c r="L216">
        <v>4</v>
      </c>
      <c r="M216" t="s">
        <v>21</v>
      </c>
    </row>
    <row r="217" spans="1:13" x14ac:dyDescent="0.3">
      <c r="A217" t="s">
        <v>467</v>
      </c>
      <c r="B217" t="s">
        <v>468</v>
      </c>
      <c r="C217" t="s">
        <v>68</v>
      </c>
      <c r="D217" t="s">
        <v>41</v>
      </c>
      <c r="E217" t="s">
        <v>42</v>
      </c>
      <c r="F217" t="s">
        <v>83</v>
      </c>
      <c r="G217" t="s">
        <v>19</v>
      </c>
      <c r="H217" t="s">
        <v>64</v>
      </c>
      <c r="I217">
        <v>4266</v>
      </c>
      <c r="J217">
        <v>6</v>
      </c>
      <c r="K217">
        <v>3.9</v>
      </c>
      <c r="L217">
        <v>5</v>
      </c>
      <c r="M217" t="s">
        <v>37</v>
      </c>
    </row>
    <row r="218" spans="1:13" x14ac:dyDescent="0.3">
      <c r="A218" t="s">
        <v>469</v>
      </c>
      <c r="B218" t="s">
        <v>470</v>
      </c>
      <c r="C218" t="s">
        <v>146</v>
      </c>
      <c r="D218" t="s">
        <v>41</v>
      </c>
      <c r="E218" t="s">
        <v>42</v>
      </c>
      <c r="F218" t="s">
        <v>27</v>
      </c>
      <c r="G218" t="s">
        <v>54</v>
      </c>
      <c r="H218" t="s">
        <v>36</v>
      </c>
      <c r="I218">
        <v>24785</v>
      </c>
      <c r="J218">
        <v>5</v>
      </c>
      <c r="K218">
        <v>4.5</v>
      </c>
      <c r="L218">
        <v>6</v>
      </c>
      <c r="M218" t="s">
        <v>80</v>
      </c>
    </row>
    <row r="219" spans="1:13" x14ac:dyDescent="0.3">
      <c r="A219" t="s">
        <v>471</v>
      </c>
      <c r="B219" t="s">
        <v>472</v>
      </c>
      <c r="C219" t="s">
        <v>50</v>
      </c>
      <c r="D219" t="s">
        <v>79</v>
      </c>
      <c r="E219" t="s">
        <v>26</v>
      </c>
      <c r="F219" t="s">
        <v>27</v>
      </c>
      <c r="G219" t="s">
        <v>104</v>
      </c>
      <c r="H219" t="s">
        <v>29</v>
      </c>
      <c r="I219">
        <v>32753</v>
      </c>
      <c r="J219">
        <v>7</v>
      </c>
      <c r="K219">
        <v>3.7</v>
      </c>
      <c r="L219">
        <v>6</v>
      </c>
      <c r="M219" t="s">
        <v>192</v>
      </c>
    </row>
    <row r="220" spans="1:13" x14ac:dyDescent="0.3">
      <c r="A220" t="s">
        <v>473</v>
      </c>
      <c r="B220" t="s">
        <v>468</v>
      </c>
      <c r="C220" t="s">
        <v>146</v>
      </c>
      <c r="D220" t="s">
        <v>46</v>
      </c>
      <c r="E220" t="s">
        <v>42</v>
      </c>
      <c r="F220" t="s">
        <v>53</v>
      </c>
      <c r="G220" t="s">
        <v>28</v>
      </c>
      <c r="H220" t="s">
        <v>36</v>
      </c>
      <c r="I220">
        <v>3184</v>
      </c>
      <c r="J220">
        <v>2</v>
      </c>
      <c r="K220">
        <v>3.4</v>
      </c>
      <c r="L220">
        <v>8</v>
      </c>
      <c r="M220" t="s">
        <v>37</v>
      </c>
    </row>
    <row r="221" spans="1:13" x14ac:dyDescent="0.3">
      <c r="A221" t="s">
        <v>474</v>
      </c>
      <c r="B221" t="s">
        <v>475</v>
      </c>
      <c r="C221" t="s">
        <v>45</v>
      </c>
      <c r="D221" t="s">
        <v>59</v>
      </c>
      <c r="E221" t="s">
        <v>26</v>
      </c>
      <c r="F221" t="s">
        <v>18</v>
      </c>
      <c r="G221" t="s">
        <v>19</v>
      </c>
      <c r="H221" t="s">
        <v>29</v>
      </c>
      <c r="I221">
        <v>18248</v>
      </c>
      <c r="J221">
        <v>8</v>
      </c>
      <c r="K221">
        <v>3.5</v>
      </c>
      <c r="L221">
        <v>5</v>
      </c>
      <c r="M221" t="s">
        <v>37</v>
      </c>
    </row>
    <row r="222" spans="1:13" x14ac:dyDescent="0.3">
      <c r="A222" t="s">
        <v>476</v>
      </c>
      <c r="B222" t="s">
        <v>477</v>
      </c>
      <c r="C222" t="s">
        <v>15</v>
      </c>
      <c r="D222" t="s">
        <v>147</v>
      </c>
      <c r="E222" t="s">
        <v>52</v>
      </c>
      <c r="F222" t="s">
        <v>60</v>
      </c>
      <c r="G222" t="s">
        <v>28</v>
      </c>
      <c r="H222" t="s">
        <v>20</v>
      </c>
      <c r="I222">
        <v>7492</v>
      </c>
      <c r="J222">
        <v>4</v>
      </c>
      <c r="K222">
        <v>3.7</v>
      </c>
      <c r="L222">
        <v>3</v>
      </c>
      <c r="M222" t="s">
        <v>119</v>
      </c>
    </row>
    <row r="223" spans="1:13" x14ac:dyDescent="0.3">
      <c r="A223" t="s">
        <v>478</v>
      </c>
      <c r="B223" t="s">
        <v>183</v>
      </c>
      <c r="C223" t="s">
        <v>129</v>
      </c>
      <c r="D223" t="s">
        <v>116</v>
      </c>
      <c r="E223" t="s">
        <v>17</v>
      </c>
      <c r="F223" t="s">
        <v>27</v>
      </c>
      <c r="G223" t="s">
        <v>54</v>
      </c>
      <c r="H223" t="s">
        <v>29</v>
      </c>
      <c r="I223">
        <v>1644</v>
      </c>
      <c r="J223">
        <v>3</v>
      </c>
      <c r="K223">
        <v>3.6</v>
      </c>
      <c r="L223">
        <v>7</v>
      </c>
      <c r="M223" t="s">
        <v>87</v>
      </c>
    </row>
    <row r="224" spans="1:13" x14ac:dyDescent="0.3">
      <c r="A224" t="s">
        <v>479</v>
      </c>
      <c r="B224" t="s">
        <v>480</v>
      </c>
      <c r="C224" t="s">
        <v>33</v>
      </c>
      <c r="D224" t="s">
        <v>16</v>
      </c>
      <c r="E224" t="s">
        <v>17</v>
      </c>
      <c r="F224" t="s">
        <v>83</v>
      </c>
      <c r="G224" t="s">
        <v>28</v>
      </c>
      <c r="H224" t="s">
        <v>64</v>
      </c>
      <c r="I224">
        <v>6488</v>
      </c>
      <c r="J224">
        <v>4</v>
      </c>
      <c r="K224">
        <v>3.4</v>
      </c>
      <c r="L224">
        <v>8</v>
      </c>
      <c r="M224" t="s">
        <v>87</v>
      </c>
    </row>
    <row r="225" spans="1:13" x14ac:dyDescent="0.3">
      <c r="A225" t="s">
        <v>481</v>
      </c>
      <c r="B225" t="s">
        <v>482</v>
      </c>
      <c r="C225" t="s">
        <v>33</v>
      </c>
      <c r="D225" t="s">
        <v>41</v>
      </c>
      <c r="E225" t="s">
        <v>42</v>
      </c>
      <c r="F225" t="s">
        <v>100</v>
      </c>
      <c r="G225" t="s">
        <v>19</v>
      </c>
      <c r="H225" t="s">
        <v>29</v>
      </c>
      <c r="I225">
        <v>15631</v>
      </c>
      <c r="J225">
        <v>7</v>
      </c>
      <c r="K225">
        <v>3.7</v>
      </c>
      <c r="L225">
        <v>3</v>
      </c>
      <c r="M225" t="s">
        <v>55</v>
      </c>
    </row>
    <row r="226" spans="1:13" x14ac:dyDescent="0.3">
      <c r="A226" t="s">
        <v>483</v>
      </c>
      <c r="B226" t="s">
        <v>344</v>
      </c>
      <c r="C226" t="s">
        <v>78</v>
      </c>
      <c r="D226" t="s">
        <v>90</v>
      </c>
      <c r="E226" t="s">
        <v>42</v>
      </c>
      <c r="F226" t="s">
        <v>18</v>
      </c>
      <c r="G226" t="s">
        <v>28</v>
      </c>
      <c r="H226" t="s">
        <v>29</v>
      </c>
      <c r="I226">
        <v>30696</v>
      </c>
      <c r="J226">
        <v>8</v>
      </c>
      <c r="K226">
        <v>4</v>
      </c>
      <c r="L226">
        <v>4</v>
      </c>
      <c r="M226" t="s">
        <v>30</v>
      </c>
    </row>
    <row r="227" spans="1:13" x14ac:dyDescent="0.3">
      <c r="A227" t="s">
        <v>484</v>
      </c>
      <c r="B227" t="s">
        <v>485</v>
      </c>
      <c r="C227" t="s">
        <v>103</v>
      </c>
      <c r="D227" t="s">
        <v>90</v>
      </c>
      <c r="E227" t="s">
        <v>42</v>
      </c>
      <c r="F227" t="s">
        <v>18</v>
      </c>
      <c r="G227" t="s">
        <v>28</v>
      </c>
      <c r="H227" t="s">
        <v>29</v>
      </c>
      <c r="I227">
        <v>5478</v>
      </c>
      <c r="J227">
        <v>6</v>
      </c>
      <c r="K227">
        <v>4.3</v>
      </c>
      <c r="L227">
        <v>1</v>
      </c>
      <c r="M227" t="s">
        <v>126</v>
      </c>
    </row>
    <row r="228" spans="1:13" x14ac:dyDescent="0.3">
      <c r="A228" t="s">
        <v>486</v>
      </c>
      <c r="B228" t="s">
        <v>487</v>
      </c>
      <c r="C228" t="s">
        <v>58</v>
      </c>
      <c r="D228" t="s">
        <v>79</v>
      </c>
      <c r="E228" t="s">
        <v>26</v>
      </c>
      <c r="F228" t="s">
        <v>60</v>
      </c>
      <c r="G228" t="s">
        <v>104</v>
      </c>
      <c r="H228" t="s">
        <v>20</v>
      </c>
      <c r="I228">
        <v>3432</v>
      </c>
      <c r="J228">
        <v>2</v>
      </c>
      <c r="K228">
        <v>4.5999999999999996</v>
      </c>
      <c r="L228">
        <v>4</v>
      </c>
      <c r="M228" t="s">
        <v>80</v>
      </c>
    </row>
    <row r="229" spans="1:13" x14ac:dyDescent="0.3">
      <c r="A229" t="s">
        <v>488</v>
      </c>
      <c r="B229" t="s">
        <v>489</v>
      </c>
      <c r="C229" t="s">
        <v>58</v>
      </c>
      <c r="D229" t="s">
        <v>63</v>
      </c>
      <c r="E229" t="s">
        <v>52</v>
      </c>
      <c r="F229" t="s">
        <v>83</v>
      </c>
      <c r="G229" t="s">
        <v>28</v>
      </c>
      <c r="H229" t="s">
        <v>29</v>
      </c>
      <c r="I229">
        <v>10314</v>
      </c>
      <c r="J229">
        <v>6</v>
      </c>
      <c r="K229">
        <v>4.9000000000000004</v>
      </c>
      <c r="L229">
        <v>3</v>
      </c>
      <c r="M229" t="s">
        <v>30</v>
      </c>
    </row>
    <row r="230" spans="1:13" x14ac:dyDescent="0.3">
      <c r="A230" t="s">
        <v>490</v>
      </c>
      <c r="B230" t="s">
        <v>491</v>
      </c>
      <c r="C230" t="s">
        <v>170</v>
      </c>
      <c r="D230" t="s">
        <v>51</v>
      </c>
      <c r="E230" t="s">
        <v>52</v>
      </c>
      <c r="F230" t="s">
        <v>100</v>
      </c>
      <c r="G230" t="s">
        <v>19</v>
      </c>
      <c r="H230" t="s">
        <v>20</v>
      </c>
      <c r="I230">
        <v>2404</v>
      </c>
      <c r="J230">
        <v>2</v>
      </c>
      <c r="K230">
        <v>4.0999999999999996</v>
      </c>
      <c r="L230">
        <v>1</v>
      </c>
      <c r="M230" t="s">
        <v>144</v>
      </c>
    </row>
    <row r="231" spans="1:13" x14ac:dyDescent="0.3">
      <c r="A231" t="s">
        <v>492</v>
      </c>
      <c r="B231" t="s">
        <v>493</v>
      </c>
      <c r="C231" t="s">
        <v>75</v>
      </c>
      <c r="D231" t="s">
        <v>34</v>
      </c>
      <c r="E231" t="s">
        <v>35</v>
      </c>
      <c r="F231" t="s">
        <v>53</v>
      </c>
      <c r="G231" t="s">
        <v>28</v>
      </c>
      <c r="H231" t="s">
        <v>36</v>
      </c>
      <c r="I231">
        <v>79388</v>
      </c>
      <c r="J231">
        <v>1</v>
      </c>
      <c r="K231">
        <v>4.7</v>
      </c>
      <c r="L231">
        <v>6</v>
      </c>
      <c r="M231" t="s">
        <v>126</v>
      </c>
    </row>
    <row r="232" spans="1:13" x14ac:dyDescent="0.3">
      <c r="A232" t="s">
        <v>494</v>
      </c>
      <c r="B232" t="s">
        <v>493</v>
      </c>
      <c r="C232" t="s">
        <v>122</v>
      </c>
      <c r="D232" t="s">
        <v>130</v>
      </c>
      <c r="E232" t="s">
        <v>35</v>
      </c>
      <c r="F232" t="s">
        <v>27</v>
      </c>
      <c r="G232" t="s">
        <v>19</v>
      </c>
      <c r="H232" t="s">
        <v>64</v>
      </c>
      <c r="I232">
        <v>199074</v>
      </c>
      <c r="J232">
        <v>3</v>
      </c>
      <c r="K232">
        <v>4.5</v>
      </c>
      <c r="L232">
        <v>6</v>
      </c>
      <c r="M232" t="s">
        <v>126</v>
      </c>
    </row>
    <row r="233" spans="1:13" x14ac:dyDescent="0.3">
      <c r="A233" t="s">
        <v>495</v>
      </c>
      <c r="B233" t="s">
        <v>77</v>
      </c>
      <c r="C233" t="s">
        <v>45</v>
      </c>
      <c r="D233" t="s">
        <v>130</v>
      </c>
      <c r="E233" t="s">
        <v>35</v>
      </c>
      <c r="F233" t="s">
        <v>83</v>
      </c>
      <c r="G233" t="s">
        <v>54</v>
      </c>
      <c r="H233" t="s">
        <v>64</v>
      </c>
      <c r="I233">
        <v>232746</v>
      </c>
      <c r="J233">
        <v>3</v>
      </c>
      <c r="K233">
        <v>3.3</v>
      </c>
      <c r="L233">
        <v>6</v>
      </c>
      <c r="M233" t="s">
        <v>80</v>
      </c>
    </row>
    <row r="234" spans="1:13" x14ac:dyDescent="0.3">
      <c r="A234" t="s">
        <v>496</v>
      </c>
      <c r="B234" t="s">
        <v>263</v>
      </c>
      <c r="C234" t="s">
        <v>146</v>
      </c>
      <c r="D234" t="s">
        <v>109</v>
      </c>
      <c r="E234" t="s">
        <v>52</v>
      </c>
      <c r="F234" t="s">
        <v>18</v>
      </c>
      <c r="G234" t="s">
        <v>104</v>
      </c>
      <c r="H234" t="s">
        <v>20</v>
      </c>
      <c r="I234">
        <v>6232</v>
      </c>
      <c r="J234">
        <v>4</v>
      </c>
      <c r="K234">
        <v>4.7</v>
      </c>
      <c r="L234">
        <v>6</v>
      </c>
      <c r="M234" t="s">
        <v>87</v>
      </c>
    </row>
    <row r="235" spans="1:13" x14ac:dyDescent="0.3">
      <c r="A235" t="s">
        <v>497</v>
      </c>
      <c r="B235" t="s">
        <v>450</v>
      </c>
      <c r="C235" t="s">
        <v>133</v>
      </c>
      <c r="D235" t="s">
        <v>147</v>
      </c>
      <c r="E235" t="s">
        <v>52</v>
      </c>
      <c r="F235" t="s">
        <v>60</v>
      </c>
      <c r="G235" t="s">
        <v>28</v>
      </c>
      <c r="H235" t="s">
        <v>29</v>
      </c>
      <c r="I235">
        <v>1275</v>
      </c>
      <c r="J235">
        <v>5</v>
      </c>
      <c r="K235">
        <v>4.5</v>
      </c>
      <c r="L235">
        <v>3</v>
      </c>
      <c r="M235" t="s">
        <v>126</v>
      </c>
    </row>
    <row r="236" spans="1:13" x14ac:dyDescent="0.3">
      <c r="A236" t="s">
        <v>498</v>
      </c>
      <c r="B236" t="s">
        <v>181</v>
      </c>
      <c r="C236" t="s">
        <v>40</v>
      </c>
      <c r="D236" t="s">
        <v>69</v>
      </c>
      <c r="E236" t="s">
        <v>26</v>
      </c>
      <c r="F236" t="s">
        <v>18</v>
      </c>
      <c r="G236" t="s">
        <v>104</v>
      </c>
      <c r="H236" t="s">
        <v>29</v>
      </c>
      <c r="I236">
        <v>16056</v>
      </c>
      <c r="J236">
        <v>8</v>
      </c>
      <c r="K236">
        <v>4.5999999999999996</v>
      </c>
      <c r="L236">
        <v>1</v>
      </c>
      <c r="M236" t="s">
        <v>87</v>
      </c>
    </row>
    <row r="237" spans="1:13" x14ac:dyDescent="0.3">
      <c r="A237" t="s">
        <v>499</v>
      </c>
      <c r="B237" t="s">
        <v>420</v>
      </c>
      <c r="C237" t="s">
        <v>15</v>
      </c>
      <c r="D237" t="s">
        <v>16</v>
      </c>
      <c r="E237" t="s">
        <v>17</v>
      </c>
      <c r="F237" t="s">
        <v>60</v>
      </c>
      <c r="G237" t="s">
        <v>19</v>
      </c>
      <c r="H237" t="s">
        <v>64</v>
      </c>
      <c r="I237">
        <v>3204</v>
      </c>
      <c r="J237">
        <v>3</v>
      </c>
      <c r="K237">
        <v>3.8</v>
      </c>
      <c r="L237">
        <v>8</v>
      </c>
      <c r="M237" t="s">
        <v>126</v>
      </c>
    </row>
    <row r="238" spans="1:13" x14ac:dyDescent="0.3">
      <c r="A238" t="s">
        <v>500</v>
      </c>
      <c r="B238" t="s">
        <v>181</v>
      </c>
      <c r="C238" t="s">
        <v>40</v>
      </c>
      <c r="D238" t="s">
        <v>147</v>
      </c>
      <c r="E238" t="s">
        <v>52</v>
      </c>
      <c r="F238" t="s">
        <v>83</v>
      </c>
      <c r="G238" t="s">
        <v>54</v>
      </c>
      <c r="H238" t="s">
        <v>36</v>
      </c>
      <c r="I238">
        <v>6168</v>
      </c>
      <c r="J238">
        <v>6</v>
      </c>
      <c r="K238">
        <v>3.7</v>
      </c>
      <c r="L238">
        <v>5</v>
      </c>
      <c r="M238" t="s">
        <v>87</v>
      </c>
    </row>
    <row r="239" spans="1:13" x14ac:dyDescent="0.3">
      <c r="A239" t="s">
        <v>501</v>
      </c>
      <c r="B239" t="s">
        <v>356</v>
      </c>
      <c r="C239" t="s">
        <v>179</v>
      </c>
      <c r="D239" t="s">
        <v>90</v>
      </c>
      <c r="E239" t="s">
        <v>42</v>
      </c>
      <c r="F239" t="s">
        <v>18</v>
      </c>
      <c r="G239" t="s">
        <v>54</v>
      </c>
      <c r="H239" t="s">
        <v>20</v>
      </c>
      <c r="I239">
        <v>1417</v>
      </c>
      <c r="J239">
        <v>1</v>
      </c>
      <c r="K239">
        <v>4.7</v>
      </c>
      <c r="L239">
        <v>8</v>
      </c>
      <c r="M239" t="s">
        <v>80</v>
      </c>
    </row>
    <row r="240" spans="1:13" x14ac:dyDescent="0.3">
      <c r="A240" t="s">
        <v>502</v>
      </c>
      <c r="B240" t="s">
        <v>503</v>
      </c>
      <c r="C240" t="s">
        <v>75</v>
      </c>
      <c r="D240" t="s">
        <v>109</v>
      </c>
      <c r="E240" t="s">
        <v>52</v>
      </c>
      <c r="F240" t="s">
        <v>27</v>
      </c>
      <c r="G240" t="s">
        <v>28</v>
      </c>
      <c r="H240" t="s">
        <v>20</v>
      </c>
      <c r="I240">
        <v>12104</v>
      </c>
      <c r="J240">
        <v>8</v>
      </c>
      <c r="K240">
        <v>4.8</v>
      </c>
      <c r="L240">
        <v>5</v>
      </c>
      <c r="M240" t="s">
        <v>87</v>
      </c>
    </row>
    <row r="241" spans="1:13" x14ac:dyDescent="0.3">
      <c r="A241" t="s">
        <v>504</v>
      </c>
      <c r="B241" t="s">
        <v>505</v>
      </c>
      <c r="C241" t="s">
        <v>58</v>
      </c>
      <c r="D241" t="s">
        <v>97</v>
      </c>
      <c r="E241" t="s">
        <v>35</v>
      </c>
      <c r="F241" t="s">
        <v>18</v>
      </c>
      <c r="G241" t="s">
        <v>19</v>
      </c>
      <c r="H241" t="s">
        <v>36</v>
      </c>
      <c r="I241">
        <v>111030</v>
      </c>
      <c r="J241">
        <v>3</v>
      </c>
      <c r="K241">
        <v>3.7</v>
      </c>
      <c r="L241">
        <v>5</v>
      </c>
      <c r="M241" t="s">
        <v>55</v>
      </c>
    </row>
    <row r="242" spans="1:13" x14ac:dyDescent="0.3">
      <c r="A242" t="s">
        <v>506</v>
      </c>
      <c r="B242" t="s">
        <v>507</v>
      </c>
      <c r="C242" t="s">
        <v>78</v>
      </c>
      <c r="D242" t="s">
        <v>218</v>
      </c>
      <c r="E242" t="s">
        <v>17</v>
      </c>
      <c r="F242" t="s">
        <v>27</v>
      </c>
      <c r="G242" t="s">
        <v>28</v>
      </c>
      <c r="H242" t="s">
        <v>20</v>
      </c>
      <c r="I242">
        <v>10549</v>
      </c>
      <c r="J242">
        <v>7</v>
      </c>
      <c r="K242">
        <v>4.7</v>
      </c>
      <c r="L242">
        <v>7</v>
      </c>
      <c r="M242" t="s">
        <v>30</v>
      </c>
    </row>
    <row r="243" spans="1:13" x14ac:dyDescent="0.3">
      <c r="A243" t="s">
        <v>508</v>
      </c>
      <c r="B243" t="s">
        <v>290</v>
      </c>
      <c r="C243" t="s">
        <v>68</v>
      </c>
      <c r="D243" t="s">
        <v>46</v>
      </c>
      <c r="E243" t="s">
        <v>42</v>
      </c>
      <c r="F243" t="s">
        <v>60</v>
      </c>
      <c r="G243" t="s">
        <v>19</v>
      </c>
      <c r="H243" t="s">
        <v>20</v>
      </c>
      <c r="I243">
        <v>37653</v>
      </c>
      <c r="J243">
        <v>7</v>
      </c>
      <c r="K243">
        <v>4.5999999999999996</v>
      </c>
      <c r="L243">
        <v>3</v>
      </c>
      <c r="M243" t="s">
        <v>87</v>
      </c>
    </row>
    <row r="244" spans="1:13" x14ac:dyDescent="0.3">
      <c r="A244" t="s">
        <v>509</v>
      </c>
      <c r="B244" t="s">
        <v>510</v>
      </c>
      <c r="C244" t="s">
        <v>170</v>
      </c>
      <c r="D244" t="s">
        <v>63</v>
      </c>
      <c r="E244" t="s">
        <v>52</v>
      </c>
      <c r="F244" t="s">
        <v>27</v>
      </c>
      <c r="G244" t="s">
        <v>54</v>
      </c>
      <c r="H244" t="s">
        <v>36</v>
      </c>
      <c r="I244">
        <v>570</v>
      </c>
      <c r="J244">
        <v>1</v>
      </c>
      <c r="K244">
        <v>3.5</v>
      </c>
      <c r="L244">
        <v>5</v>
      </c>
      <c r="M244" t="s">
        <v>80</v>
      </c>
    </row>
    <row r="245" spans="1:13" x14ac:dyDescent="0.3">
      <c r="A245" t="s">
        <v>511</v>
      </c>
      <c r="B245" t="s">
        <v>39</v>
      </c>
      <c r="C245" t="s">
        <v>68</v>
      </c>
      <c r="D245" t="s">
        <v>90</v>
      </c>
      <c r="E245" t="s">
        <v>42</v>
      </c>
      <c r="F245" t="s">
        <v>60</v>
      </c>
      <c r="G245" t="s">
        <v>19</v>
      </c>
      <c r="H245" t="s">
        <v>20</v>
      </c>
      <c r="I245">
        <v>4806</v>
      </c>
      <c r="J245">
        <v>6</v>
      </c>
      <c r="K245">
        <v>4.3</v>
      </c>
      <c r="L245">
        <v>7</v>
      </c>
      <c r="M245" t="s">
        <v>30</v>
      </c>
    </row>
    <row r="246" spans="1:13" x14ac:dyDescent="0.3">
      <c r="A246" t="s">
        <v>512</v>
      </c>
      <c r="B246" t="s">
        <v>111</v>
      </c>
      <c r="C246" t="s">
        <v>58</v>
      </c>
      <c r="D246" t="s">
        <v>25</v>
      </c>
      <c r="E246" t="s">
        <v>26</v>
      </c>
      <c r="F246" t="s">
        <v>100</v>
      </c>
      <c r="G246" t="s">
        <v>28</v>
      </c>
      <c r="H246" t="s">
        <v>36</v>
      </c>
      <c r="I246">
        <v>10254</v>
      </c>
      <c r="J246">
        <v>2</v>
      </c>
      <c r="K246">
        <v>3.9</v>
      </c>
      <c r="L246">
        <v>8</v>
      </c>
      <c r="M246" t="s">
        <v>87</v>
      </c>
    </row>
    <row r="247" spans="1:13" x14ac:dyDescent="0.3">
      <c r="A247" t="s">
        <v>513</v>
      </c>
      <c r="B247" t="s">
        <v>514</v>
      </c>
      <c r="C247" t="s">
        <v>125</v>
      </c>
      <c r="D247" t="s">
        <v>109</v>
      </c>
      <c r="E247" t="s">
        <v>52</v>
      </c>
      <c r="F247" t="s">
        <v>53</v>
      </c>
      <c r="G247" t="s">
        <v>104</v>
      </c>
      <c r="H247" t="s">
        <v>36</v>
      </c>
      <c r="I247">
        <v>5685</v>
      </c>
      <c r="J247">
        <v>3</v>
      </c>
      <c r="K247">
        <v>4.4000000000000004</v>
      </c>
      <c r="L247">
        <v>1</v>
      </c>
      <c r="M247" t="s">
        <v>55</v>
      </c>
    </row>
    <row r="248" spans="1:13" x14ac:dyDescent="0.3">
      <c r="A248" t="s">
        <v>515</v>
      </c>
      <c r="B248" t="s">
        <v>516</v>
      </c>
      <c r="C248" t="s">
        <v>170</v>
      </c>
      <c r="D248" t="s">
        <v>130</v>
      </c>
      <c r="E248" t="s">
        <v>35</v>
      </c>
      <c r="F248" t="s">
        <v>53</v>
      </c>
      <c r="G248" t="s">
        <v>28</v>
      </c>
      <c r="H248" t="s">
        <v>36</v>
      </c>
      <c r="I248">
        <v>161890</v>
      </c>
      <c r="J248">
        <v>5</v>
      </c>
      <c r="K248">
        <v>5</v>
      </c>
      <c r="L248">
        <v>8</v>
      </c>
      <c r="M248" t="s">
        <v>126</v>
      </c>
    </row>
    <row r="249" spans="1:13" x14ac:dyDescent="0.3">
      <c r="A249" t="s">
        <v>517</v>
      </c>
      <c r="B249" t="s">
        <v>57</v>
      </c>
      <c r="C249" t="s">
        <v>40</v>
      </c>
      <c r="D249" t="s">
        <v>51</v>
      </c>
      <c r="E249" t="s">
        <v>52</v>
      </c>
      <c r="F249" t="s">
        <v>27</v>
      </c>
      <c r="G249" t="s">
        <v>28</v>
      </c>
      <c r="H249" t="s">
        <v>20</v>
      </c>
      <c r="I249">
        <v>16555</v>
      </c>
      <c r="J249">
        <v>7</v>
      </c>
      <c r="K249">
        <v>4.5999999999999996</v>
      </c>
      <c r="L249">
        <v>2</v>
      </c>
      <c r="M249" t="s">
        <v>37</v>
      </c>
    </row>
    <row r="250" spans="1:13" x14ac:dyDescent="0.3">
      <c r="A250" t="s">
        <v>518</v>
      </c>
      <c r="B250" t="s">
        <v>519</v>
      </c>
      <c r="C250" t="s">
        <v>179</v>
      </c>
      <c r="D250" t="s">
        <v>25</v>
      </c>
      <c r="E250" t="s">
        <v>26</v>
      </c>
      <c r="F250" t="s">
        <v>53</v>
      </c>
      <c r="G250" t="s">
        <v>104</v>
      </c>
      <c r="H250" t="s">
        <v>64</v>
      </c>
      <c r="I250">
        <v>33112</v>
      </c>
      <c r="J250">
        <v>4</v>
      </c>
      <c r="K250">
        <v>3.3</v>
      </c>
      <c r="L250">
        <v>6</v>
      </c>
      <c r="M250" t="s">
        <v>80</v>
      </c>
    </row>
    <row r="251" spans="1:13" x14ac:dyDescent="0.3">
      <c r="A251" t="s">
        <v>520</v>
      </c>
      <c r="B251" t="s">
        <v>521</v>
      </c>
      <c r="C251" t="s">
        <v>125</v>
      </c>
      <c r="D251" t="s">
        <v>69</v>
      </c>
      <c r="E251" t="s">
        <v>26</v>
      </c>
      <c r="F251" t="s">
        <v>100</v>
      </c>
      <c r="G251" t="s">
        <v>104</v>
      </c>
      <c r="H251" t="s">
        <v>29</v>
      </c>
      <c r="I251">
        <v>17616</v>
      </c>
      <c r="J251">
        <v>2</v>
      </c>
      <c r="K251">
        <v>4.3</v>
      </c>
      <c r="L251">
        <v>3</v>
      </c>
      <c r="M251" t="s">
        <v>192</v>
      </c>
    </row>
    <row r="252" spans="1:13" x14ac:dyDescent="0.3">
      <c r="A252" t="s">
        <v>522</v>
      </c>
      <c r="B252" t="s">
        <v>523</v>
      </c>
      <c r="C252" t="s">
        <v>122</v>
      </c>
      <c r="D252" t="s">
        <v>109</v>
      </c>
      <c r="E252" t="s">
        <v>52</v>
      </c>
      <c r="F252" t="s">
        <v>27</v>
      </c>
      <c r="G252" t="s">
        <v>19</v>
      </c>
      <c r="H252" t="s">
        <v>20</v>
      </c>
      <c r="I252">
        <v>724</v>
      </c>
      <c r="J252">
        <v>2</v>
      </c>
      <c r="K252">
        <v>4.7</v>
      </c>
      <c r="L252">
        <v>4</v>
      </c>
      <c r="M252" t="s">
        <v>119</v>
      </c>
    </row>
    <row r="253" spans="1:13" x14ac:dyDescent="0.3">
      <c r="A253" t="s">
        <v>524</v>
      </c>
      <c r="B253" t="s">
        <v>525</v>
      </c>
      <c r="C253" t="s">
        <v>122</v>
      </c>
      <c r="D253" t="s">
        <v>97</v>
      </c>
      <c r="E253" t="s">
        <v>35</v>
      </c>
      <c r="F253" t="s">
        <v>53</v>
      </c>
      <c r="G253" t="s">
        <v>104</v>
      </c>
      <c r="H253" t="s">
        <v>29</v>
      </c>
      <c r="I253">
        <v>64640</v>
      </c>
      <c r="J253">
        <v>1</v>
      </c>
      <c r="K253">
        <v>3.5</v>
      </c>
      <c r="L253">
        <v>1</v>
      </c>
      <c r="M253" t="s">
        <v>65</v>
      </c>
    </row>
    <row r="254" spans="1:13" x14ac:dyDescent="0.3">
      <c r="A254" t="s">
        <v>526</v>
      </c>
      <c r="B254" t="s">
        <v>527</v>
      </c>
      <c r="C254" t="s">
        <v>58</v>
      </c>
      <c r="D254" t="s">
        <v>90</v>
      </c>
      <c r="E254" t="s">
        <v>42</v>
      </c>
      <c r="F254" t="s">
        <v>18</v>
      </c>
      <c r="G254" t="s">
        <v>54</v>
      </c>
      <c r="H254" t="s">
        <v>29</v>
      </c>
      <c r="I254">
        <v>25400</v>
      </c>
      <c r="J254">
        <v>8</v>
      </c>
      <c r="K254">
        <v>4.0999999999999996</v>
      </c>
      <c r="L254">
        <v>7</v>
      </c>
      <c r="M254" t="s">
        <v>126</v>
      </c>
    </row>
    <row r="255" spans="1:13" x14ac:dyDescent="0.3">
      <c r="A255" t="s">
        <v>528</v>
      </c>
      <c r="B255" t="s">
        <v>187</v>
      </c>
      <c r="C255" t="s">
        <v>103</v>
      </c>
      <c r="D255" t="s">
        <v>59</v>
      </c>
      <c r="E255" t="s">
        <v>26</v>
      </c>
      <c r="F255" t="s">
        <v>27</v>
      </c>
      <c r="G255" t="s">
        <v>104</v>
      </c>
      <c r="H255" t="s">
        <v>20</v>
      </c>
      <c r="I255">
        <v>22590</v>
      </c>
      <c r="J255">
        <v>2</v>
      </c>
      <c r="K255">
        <v>3.8</v>
      </c>
      <c r="L255">
        <v>5</v>
      </c>
      <c r="M255" t="s">
        <v>126</v>
      </c>
    </row>
    <row r="256" spans="1:13" x14ac:dyDescent="0.3">
      <c r="A256" t="s">
        <v>529</v>
      </c>
      <c r="B256" t="s">
        <v>530</v>
      </c>
      <c r="C256" t="s">
        <v>103</v>
      </c>
      <c r="D256" t="s">
        <v>63</v>
      </c>
      <c r="E256" t="s">
        <v>52</v>
      </c>
      <c r="F256" t="s">
        <v>60</v>
      </c>
      <c r="G256" t="s">
        <v>28</v>
      </c>
      <c r="H256" t="s">
        <v>64</v>
      </c>
      <c r="I256">
        <v>10913</v>
      </c>
      <c r="J256">
        <v>7</v>
      </c>
      <c r="K256">
        <v>4.0999999999999996</v>
      </c>
      <c r="L256">
        <v>5</v>
      </c>
      <c r="M256" t="s">
        <v>144</v>
      </c>
    </row>
    <row r="257" spans="1:13" x14ac:dyDescent="0.3">
      <c r="A257" t="s">
        <v>531</v>
      </c>
      <c r="B257" t="s">
        <v>420</v>
      </c>
      <c r="C257" t="s">
        <v>78</v>
      </c>
      <c r="D257" t="s">
        <v>86</v>
      </c>
      <c r="E257" t="s">
        <v>17</v>
      </c>
      <c r="F257" t="s">
        <v>83</v>
      </c>
      <c r="G257" t="s">
        <v>104</v>
      </c>
      <c r="H257" t="s">
        <v>36</v>
      </c>
      <c r="I257">
        <v>6820</v>
      </c>
      <c r="J257">
        <v>4</v>
      </c>
      <c r="K257">
        <v>3.7</v>
      </c>
      <c r="L257">
        <v>3</v>
      </c>
      <c r="M257" t="s">
        <v>126</v>
      </c>
    </row>
    <row r="258" spans="1:13" x14ac:dyDescent="0.3">
      <c r="A258" t="s">
        <v>532</v>
      </c>
      <c r="B258" t="s">
        <v>533</v>
      </c>
      <c r="C258" t="s">
        <v>133</v>
      </c>
      <c r="D258" t="s">
        <v>159</v>
      </c>
      <c r="E258" t="s">
        <v>42</v>
      </c>
      <c r="F258" t="s">
        <v>53</v>
      </c>
      <c r="G258" t="s">
        <v>104</v>
      </c>
      <c r="H258" t="s">
        <v>29</v>
      </c>
      <c r="I258">
        <v>7560</v>
      </c>
      <c r="J258">
        <v>3</v>
      </c>
      <c r="K258">
        <v>3.6</v>
      </c>
      <c r="L258">
        <v>5</v>
      </c>
      <c r="M258" t="s">
        <v>21</v>
      </c>
    </row>
    <row r="259" spans="1:13" x14ac:dyDescent="0.3">
      <c r="A259" t="s">
        <v>534</v>
      </c>
      <c r="B259" t="s">
        <v>172</v>
      </c>
      <c r="C259" t="s">
        <v>112</v>
      </c>
      <c r="D259" t="s">
        <v>59</v>
      </c>
      <c r="E259" t="s">
        <v>26</v>
      </c>
      <c r="F259" t="s">
        <v>18</v>
      </c>
      <c r="G259" t="s">
        <v>28</v>
      </c>
      <c r="H259" t="s">
        <v>29</v>
      </c>
      <c r="I259">
        <v>21936</v>
      </c>
      <c r="J259">
        <v>2</v>
      </c>
      <c r="K259">
        <v>3.3</v>
      </c>
      <c r="L259">
        <v>4</v>
      </c>
      <c r="M259" t="s">
        <v>47</v>
      </c>
    </row>
    <row r="260" spans="1:13" x14ac:dyDescent="0.3">
      <c r="A260" t="s">
        <v>535</v>
      </c>
      <c r="B260" t="s">
        <v>536</v>
      </c>
      <c r="C260" t="s">
        <v>75</v>
      </c>
      <c r="D260" t="s">
        <v>41</v>
      </c>
      <c r="E260" t="s">
        <v>42</v>
      </c>
      <c r="F260" t="s">
        <v>60</v>
      </c>
      <c r="G260" t="s">
        <v>104</v>
      </c>
      <c r="H260" t="s">
        <v>20</v>
      </c>
      <c r="I260">
        <v>16092</v>
      </c>
      <c r="J260">
        <v>3</v>
      </c>
      <c r="K260">
        <v>3.5</v>
      </c>
      <c r="L260">
        <v>3</v>
      </c>
      <c r="M260" t="s">
        <v>80</v>
      </c>
    </row>
    <row r="261" spans="1:13" x14ac:dyDescent="0.3">
      <c r="A261" t="s">
        <v>537</v>
      </c>
      <c r="B261" t="s">
        <v>538</v>
      </c>
      <c r="C261" t="s">
        <v>72</v>
      </c>
      <c r="D261" t="s">
        <v>113</v>
      </c>
      <c r="E261" t="s">
        <v>35</v>
      </c>
      <c r="F261" t="s">
        <v>100</v>
      </c>
      <c r="G261" t="s">
        <v>28</v>
      </c>
      <c r="H261" t="s">
        <v>64</v>
      </c>
      <c r="I261">
        <v>196792</v>
      </c>
      <c r="J261">
        <v>8</v>
      </c>
      <c r="K261">
        <v>4.0999999999999996</v>
      </c>
      <c r="L261">
        <v>2</v>
      </c>
      <c r="M261" t="s">
        <v>144</v>
      </c>
    </row>
    <row r="262" spans="1:13" x14ac:dyDescent="0.3">
      <c r="A262" t="s">
        <v>539</v>
      </c>
      <c r="B262" t="s">
        <v>446</v>
      </c>
      <c r="C262" t="s">
        <v>112</v>
      </c>
      <c r="D262" t="s">
        <v>90</v>
      </c>
      <c r="E262" t="s">
        <v>42</v>
      </c>
      <c r="F262" t="s">
        <v>83</v>
      </c>
      <c r="G262" t="s">
        <v>54</v>
      </c>
      <c r="H262" t="s">
        <v>36</v>
      </c>
      <c r="I262">
        <v>16331</v>
      </c>
      <c r="J262">
        <v>7</v>
      </c>
      <c r="K262">
        <v>4.9000000000000004</v>
      </c>
      <c r="L262">
        <v>6</v>
      </c>
      <c r="M262" t="s">
        <v>65</v>
      </c>
    </row>
    <row r="263" spans="1:13" x14ac:dyDescent="0.3">
      <c r="A263" t="s">
        <v>540</v>
      </c>
      <c r="B263" t="s">
        <v>199</v>
      </c>
      <c r="C263" t="s">
        <v>75</v>
      </c>
      <c r="D263" t="s">
        <v>63</v>
      </c>
      <c r="E263" t="s">
        <v>52</v>
      </c>
      <c r="F263" t="s">
        <v>18</v>
      </c>
      <c r="G263" t="s">
        <v>104</v>
      </c>
      <c r="H263" t="s">
        <v>29</v>
      </c>
      <c r="I263">
        <v>4668</v>
      </c>
      <c r="J263">
        <v>6</v>
      </c>
      <c r="K263">
        <v>4.3</v>
      </c>
      <c r="L263">
        <v>3</v>
      </c>
      <c r="M263" t="s">
        <v>119</v>
      </c>
    </row>
    <row r="264" spans="1:13" x14ac:dyDescent="0.3">
      <c r="A264" t="s">
        <v>541</v>
      </c>
      <c r="B264" t="s">
        <v>391</v>
      </c>
      <c r="C264" t="s">
        <v>15</v>
      </c>
      <c r="D264" t="s">
        <v>46</v>
      </c>
      <c r="E264" t="s">
        <v>42</v>
      </c>
      <c r="F264" t="s">
        <v>83</v>
      </c>
      <c r="G264" t="s">
        <v>19</v>
      </c>
      <c r="H264" t="s">
        <v>20</v>
      </c>
      <c r="I264">
        <v>6729</v>
      </c>
      <c r="J264">
        <v>3</v>
      </c>
      <c r="K264">
        <v>4.9000000000000004</v>
      </c>
      <c r="L264">
        <v>7</v>
      </c>
      <c r="M264" t="s">
        <v>47</v>
      </c>
    </row>
    <row r="265" spans="1:13" x14ac:dyDescent="0.3">
      <c r="A265" t="s">
        <v>542</v>
      </c>
      <c r="B265" t="s">
        <v>543</v>
      </c>
      <c r="C265" t="s">
        <v>45</v>
      </c>
      <c r="D265" t="s">
        <v>147</v>
      </c>
      <c r="E265" t="s">
        <v>52</v>
      </c>
      <c r="F265" t="s">
        <v>18</v>
      </c>
      <c r="G265" t="s">
        <v>54</v>
      </c>
      <c r="H265" t="s">
        <v>36</v>
      </c>
      <c r="I265">
        <v>5253</v>
      </c>
      <c r="J265">
        <v>3</v>
      </c>
      <c r="K265">
        <v>3.7</v>
      </c>
      <c r="L265">
        <v>1</v>
      </c>
      <c r="M265" t="s">
        <v>30</v>
      </c>
    </row>
    <row r="266" spans="1:13" x14ac:dyDescent="0.3">
      <c r="A266" t="s">
        <v>544</v>
      </c>
      <c r="B266" t="s">
        <v>545</v>
      </c>
      <c r="C266" t="s">
        <v>15</v>
      </c>
      <c r="D266" t="s">
        <v>16</v>
      </c>
      <c r="E266" t="s">
        <v>17</v>
      </c>
      <c r="F266" t="s">
        <v>53</v>
      </c>
      <c r="G266" t="s">
        <v>28</v>
      </c>
      <c r="H266" t="s">
        <v>36</v>
      </c>
      <c r="I266">
        <v>8624</v>
      </c>
      <c r="J266">
        <v>8</v>
      </c>
      <c r="K266">
        <v>4.5</v>
      </c>
      <c r="L266">
        <v>4</v>
      </c>
      <c r="M266" t="s">
        <v>47</v>
      </c>
    </row>
    <row r="267" spans="1:13" x14ac:dyDescent="0.3">
      <c r="A267" t="s">
        <v>546</v>
      </c>
      <c r="B267" t="s">
        <v>547</v>
      </c>
      <c r="C267" t="s">
        <v>125</v>
      </c>
      <c r="D267" t="s">
        <v>59</v>
      </c>
      <c r="E267" t="s">
        <v>26</v>
      </c>
      <c r="F267" t="s">
        <v>83</v>
      </c>
      <c r="G267" t="s">
        <v>19</v>
      </c>
      <c r="H267" t="s">
        <v>29</v>
      </c>
      <c r="I267">
        <v>8184</v>
      </c>
      <c r="J267">
        <v>3</v>
      </c>
      <c r="K267">
        <v>3.7</v>
      </c>
      <c r="L267">
        <v>2</v>
      </c>
      <c r="M267" t="s">
        <v>192</v>
      </c>
    </row>
    <row r="268" spans="1:13" x14ac:dyDescent="0.3">
      <c r="A268" t="s">
        <v>548</v>
      </c>
      <c r="B268" t="s">
        <v>549</v>
      </c>
      <c r="C268" t="s">
        <v>170</v>
      </c>
      <c r="D268" t="s">
        <v>79</v>
      </c>
      <c r="E268" t="s">
        <v>26</v>
      </c>
      <c r="F268" t="s">
        <v>83</v>
      </c>
      <c r="G268" t="s">
        <v>54</v>
      </c>
      <c r="H268" t="s">
        <v>36</v>
      </c>
      <c r="I268">
        <v>62524</v>
      </c>
      <c r="J268">
        <v>7</v>
      </c>
      <c r="K268">
        <v>4.8</v>
      </c>
      <c r="L268">
        <v>8</v>
      </c>
      <c r="M268" t="s">
        <v>55</v>
      </c>
    </row>
    <row r="269" spans="1:13" x14ac:dyDescent="0.3">
      <c r="A269" t="s">
        <v>550</v>
      </c>
      <c r="B269" t="s">
        <v>252</v>
      </c>
      <c r="C269" t="s">
        <v>146</v>
      </c>
      <c r="D269" t="s">
        <v>16</v>
      </c>
      <c r="E269" t="s">
        <v>17</v>
      </c>
      <c r="F269" t="s">
        <v>53</v>
      </c>
      <c r="G269" t="s">
        <v>104</v>
      </c>
      <c r="H269" t="s">
        <v>64</v>
      </c>
      <c r="I269">
        <v>4840</v>
      </c>
      <c r="J269">
        <v>8</v>
      </c>
      <c r="K269">
        <v>4.8</v>
      </c>
      <c r="L269">
        <v>4</v>
      </c>
      <c r="M269" t="s">
        <v>30</v>
      </c>
    </row>
    <row r="270" spans="1:13" x14ac:dyDescent="0.3">
      <c r="A270" t="s">
        <v>551</v>
      </c>
      <c r="B270" t="s">
        <v>350</v>
      </c>
      <c r="C270" t="s">
        <v>15</v>
      </c>
      <c r="D270" t="s">
        <v>16</v>
      </c>
      <c r="E270" t="s">
        <v>17</v>
      </c>
      <c r="F270" t="s">
        <v>83</v>
      </c>
      <c r="G270" t="s">
        <v>19</v>
      </c>
      <c r="H270" t="s">
        <v>29</v>
      </c>
      <c r="I270">
        <v>895</v>
      </c>
      <c r="J270">
        <v>1</v>
      </c>
      <c r="K270">
        <v>3.4</v>
      </c>
      <c r="L270">
        <v>1</v>
      </c>
      <c r="M270" t="s">
        <v>80</v>
      </c>
    </row>
    <row r="271" spans="1:13" x14ac:dyDescent="0.3">
      <c r="A271" t="s">
        <v>552</v>
      </c>
      <c r="B271" t="s">
        <v>547</v>
      </c>
      <c r="C271" t="s">
        <v>103</v>
      </c>
      <c r="D271" t="s">
        <v>97</v>
      </c>
      <c r="E271" t="s">
        <v>35</v>
      </c>
      <c r="F271" t="s">
        <v>60</v>
      </c>
      <c r="G271" t="s">
        <v>28</v>
      </c>
      <c r="H271" t="s">
        <v>64</v>
      </c>
      <c r="I271">
        <v>237105</v>
      </c>
      <c r="J271">
        <v>5</v>
      </c>
      <c r="K271">
        <v>3.9</v>
      </c>
      <c r="L271">
        <v>8</v>
      </c>
      <c r="M271" t="s">
        <v>192</v>
      </c>
    </row>
    <row r="272" spans="1:13" x14ac:dyDescent="0.3">
      <c r="A272" t="s">
        <v>553</v>
      </c>
      <c r="B272" t="s">
        <v>106</v>
      </c>
      <c r="C272" t="s">
        <v>24</v>
      </c>
      <c r="D272" t="s">
        <v>147</v>
      </c>
      <c r="E272" t="s">
        <v>52</v>
      </c>
      <c r="F272" t="s">
        <v>100</v>
      </c>
      <c r="G272" t="s">
        <v>28</v>
      </c>
      <c r="H272" t="s">
        <v>29</v>
      </c>
      <c r="I272">
        <v>674</v>
      </c>
      <c r="J272">
        <v>1</v>
      </c>
      <c r="K272">
        <v>4.5999999999999996</v>
      </c>
      <c r="L272">
        <v>8</v>
      </c>
      <c r="M272" t="s">
        <v>80</v>
      </c>
    </row>
    <row r="273" spans="1:13" x14ac:dyDescent="0.3">
      <c r="A273" t="s">
        <v>554</v>
      </c>
      <c r="B273" t="s">
        <v>555</v>
      </c>
      <c r="C273" t="s">
        <v>170</v>
      </c>
      <c r="D273" t="s">
        <v>25</v>
      </c>
      <c r="E273" t="s">
        <v>26</v>
      </c>
      <c r="F273" t="s">
        <v>18</v>
      </c>
      <c r="G273" t="s">
        <v>19</v>
      </c>
      <c r="H273" t="s">
        <v>29</v>
      </c>
      <c r="I273">
        <v>24060</v>
      </c>
      <c r="J273">
        <v>3</v>
      </c>
      <c r="K273">
        <v>3.3</v>
      </c>
      <c r="L273">
        <v>5</v>
      </c>
      <c r="M273" t="s">
        <v>119</v>
      </c>
    </row>
    <row r="274" spans="1:13" x14ac:dyDescent="0.3">
      <c r="A274" t="s">
        <v>556</v>
      </c>
      <c r="B274" t="s">
        <v>557</v>
      </c>
      <c r="C274" t="s">
        <v>15</v>
      </c>
      <c r="D274" t="s">
        <v>25</v>
      </c>
      <c r="E274" t="s">
        <v>26</v>
      </c>
      <c r="F274" t="s">
        <v>27</v>
      </c>
      <c r="G274" t="s">
        <v>19</v>
      </c>
      <c r="H274" t="s">
        <v>64</v>
      </c>
      <c r="I274">
        <v>39788</v>
      </c>
      <c r="J274">
        <v>4</v>
      </c>
      <c r="K274">
        <v>4.8</v>
      </c>
      <c r="L274">
        <v>1</v>
      </c>
      <c r="M274" t="s">
        <v>47</v>
      </c>
    </row>
    <row r="275" spans="1:13" x14ac:dyDescent="0.3">
      <c r="A275" t="s">
        <v>558</v>
      </c>
      <c r="B275" t="s">
        <v>559</v>
      </c>
      <c r="C275" t="s">
        <v>50</v>
      </c>
      <c r="D275" t="s">
        <v>159</v>
      </c>
      <c r="E275" t="s">
        <v>42</v>
      </c>
      <c r="F275" t="s">
        <v>83</v>
      </c>
      <c r="G275" t="s">
        <v>54</v>
      </c>
      <c r="H275" t="s">
        <v>64</v>
      </c>
      <c r="I275">
        <v>23824</v>
      </c>
      <c r="J275">
        <v>8</v>
      </c>
      <c r="K275">
        <v>4.0999999999999996</v>
      </c>
      <c r="L275">
        <v>7</v>
      </c>
      <c r="M275" t="s">
        <v>87</v>
      </c>
    </row>
    <row r="276" spans="1:13" x14ac:dyDescent="0.3">
      <c r="A276" t="s">
        <v>560</v>
      </c>
      <c r="B276" t="s">
        <v>561</v>
      </c>
      <c r="C276" t="s">
        <v>133</v>
      </c>
      <c r="D276" t="s">
        <v>90</v>
      </c>
      <c r="E276" t="s">
        <v>42</v>
      </c>
      <c r="F276" t="s">
        <v>18</v>
      </c>
      <c r="G276" t="s">
        <v>54</v>
      </c>
      <c r="H276" t="s">
        <v>36</v>
      </c>
      <c r="I276">
        <v>38192</v>
      </c>
      <c r="J276">
        <v>8</v>
      </c>
      <c r="K276">
        <v>3.2</v>
      </c>
      <c r="L276">
        <v>7</v>
      </c>
      <c r="M276" t="s">
        <v>87</v>
      </c>
    </row>
    <row r="277" spans="1:13" x14ac:dyDescent="0.3">
      <c r="A277" t="s">
        <v>562</v>
      </c>
      <c r="B277" t="s">
        <v>62</v>
      </c>
      <c r="C277" t="s">
        <v>170</v>
      </c>
      <c r="D277" t="s">
        <v>59</v>
      </c>
      <c r="E277" t="s">
        <v>26</v>
      </c>
      <c r="F277" t="s">
        <v>100</v>
      </c>
      <c r="G277" t="s">
        <v>28</v>
      </c>
      <c r="H277" t="s">
        <v>29</v>
      </c>
      <c r="I277">
        <v>6756</v>
      </c>
      <c r="J277">
        <v>4</v>
      </c>
      <c r="K277">
        <v>4.7</v>
      </c>
      <c r="L277">
        <v>8</v>
      </c>
      <c r="M277" t="s">
        <v>65</v>
      </c>
    </row>
    <row r="278" spans="1:13" x14ac:dyDescent="0.3">
      <c r="A278" t="s">
        <v>563</v>
      </c>
      <c r="B278" t="s">
        <v>564</v>
      </c>
      <c r="C278" t="s">
        <v>68</v>
      </c>
      <c r="D278" t="s">
        <v>41</v>
      </c>
      <c r="E278" t="s">
        <v>42</v>
      </c>
      <c r="F278" t="s">
        <v>18</v>
      </c>
      <c r="G278" t="s">
        <v>19</v>
      </c>
      <c r="H278" t="s">
        <v>64</v>
      </c>
      <c r="I278">
        <v>23560</v>
      </c>
      <c r="J278">
        <v>4</v>
      </c>
      <c r="K278">
        <v>4.2</v>
      </c>
      <c r="L278">
        <v>6</v>
      </c>
      <c r="M278" t="s">
        <v>87</v>
      </c>
    </row>
    <row r="279" spans="1:13" x14ac:dyDescent="0.3">
      <c r="A279" t="s">
        <v>565</v>
      </c>
      <c r="B279" t="s">
        <v>111</v>
      </c>
      <c r="C279" t="s">
        <v>170</v>
      </c>
      <c r="D279" t="s">
        <v>51</v>
      </c>
      <c r="E279" t="s">
        <v>52</v>
      </c>
      <c r="F279" t="s">
        <v>18</v>
      </c>
      <c r="G279" t="s">
        <v>28</v>
      </c>
      <c r="H279" t="s">
        <v>36</v>
      </c>
      <c r="I279">
        <v>5260</v>
      </c>
      <c r="J279">
        <v>5</v>
      </c>
      <c r="K279">
        <v>3.6</v>
      </c>
      <c r="L279">
        <v>4</v>
      </c>
      <c r="M279" t="s">
        <v>87</v>
      </c>
    </row>
    <row r="280" spans="1:13" x14ac:dyDescent="0.3">
      <c r="A280" t="s">
        <v>566</v>
      </c>
      <c r="B280" t="s">
        <v>396</v>
      </c>
      <c r="C280" t="s">
        <v>78</v>
      </c>
      <c r="D280" t="s">
        <v>25</v>
      </c>
      <c r="E280" t="s">
        <v>26</v>
      </c>
      <c r="F280" t="s">
        <v>60</v>
      </c>
      <c r="G280" t="s">
        <v>28</v>
      </c>
      <c r="H280" t="s">
        <v>20</v>
      </c>
      <c r="I280">
        <v>6968</v>
      </c>
      <c r="J280">
        <v>8</v>
      </c>
      <c r="K280">
        <v>4.2</v>
      </c>
      <c r="L280">
        <v>1</v>
      </c>
      <c r="M280" t="s">
        <v>47</v>
      </c>
    </row>
    <row r="281" spans="1:13" x14ac:dyDescent="0.3">
      <c r="A281" t="s">
        <v>567</v>
      </c>
      <c r="B281" t="s">
        <v>77</v>
      </c>
      <c r="C281" t="s">
        <v>103</v>
      </c>
      <c r="D281" t="s">
        <v>79</v>
      </c>
      <c r="E281" t="s">
        <v>26</v>
      </c>
      <c r="F281" t="s">
        <v>60</v>
      </c>
      <c r="G281" t="s">
        <v>104</v>
      </c>
      <c r="H281" t="s">
        <v>29</v>
      </c>
      <c r="I281">
        <v>15318</v>
      </c>
      <c r="J281">
        <v>2</v>
      </c>
      <c r="K281">
        <v>5</v>
      </c>
      <c r="L281">
        <v>4</v>
      </c>
      <c r="M281" t="s">
        <v>80</v>
      </c>
    </row>
    <row r="282" spans="1:13" x14ac:dyDescent="0.3">
      <c r="A282" t="s">
        <v>568</v>
      </c>
      <c r="B282" t="s">
        <v>385</v>
      </c>
      <c r="C282" t="s">
        <v>179</v>
      </c>
      <c r="D282" t="s">
        <v>159</v>
      </c>
      <c r="E282" t="s">
        <v>42</v>
      </c>
      <c r="F282" t="s">
        <v>83</v>
      </c>
      <c r="G282" t="s">
        <v>104</v>
      </c>
      <c r="H282" t="s">
        <v>29</v>
      </c>
      <c r="I282">
        <v>36309</v>
      </c>
      <c r="J282">
        <v>7</v>
      </c>
      <c r="K282">
        <v>4.5</v>
      </c>
      <c r="L282">
        <v>4</v>
      </c>
      <c r="M282" t="s">
        <v>80</v>
      </c>
    </row>
    <row r="283" spans="1:13" x14ac:dyDescent="0.3">
      <c r="A283" t="s">
        <v>569</v>
      </c>
      <c r="B283" t="s">
        <v>570</v>
      </c>
      <c r="C283" t="s">
        <v>78</v>
      </c>
      <c r="D283" t="s">
        <v>63</v>
      </c>
      <c r="E283" t="s">
        <v>52</v>
      </c>
      <c r="F283" t="s">
        <v>53</v>
      </c>
      <c r="G283" t="s">
        <v>28</v>
      </c>
      <c r="H283" t="s">
        <v>36</v>
      </c>
      <c r="I283">
        <v>4332</v>
      </c>
      <c r="J283">
        <v>6</v>
      </c>
      <c r="K283">
        <v>4.2</v>
      </c>
      <c r="L283">
        <v>7</v>
      </c>
      <c r="M283" t="s">
        <v>65</v>
      </c>
    </row>
    <row r="284" spans="1:13" x14ac:dyDescent="0.3">
      <c r="A284" t="s">
        <v>571</v>
      </c>
      <c r="B284" t="s">
        <v>143</v>
      </c>
      <c r="C284" t="s">
        <v>40</v>
      </c>
      <c r="D284" t="s">
        <v>25</v>
      </c>
      <c r="E284" t="s">
        <v>26</v>
      </c>
      <c r="F284" t="s">
        <v>27</v>
      </c>
      <c r="G284" t="s">
        <v>104</v>
      </c>
      <c r="H284" t="s">
        <v>20</v>
      </c>
      <c r="I284">
        <v>36218</v>
      </c>
      <c r="J284">
        <v>7</v>
      </c>
      <c r="K284">
        <v>4.5999999999999996</v>
      </c>
      <c r="L284">
        <v>3</v>
      </c>
      <c r="M284" t="s">
        <v>144</v>
      </c>
    </row>
    <row r="285" spans="1:13" x14ac:dyDescent="0.3">
      <c r="A285" t="s">
        <v>572</v>
      </c>
      <c r="B285" t="s">
        <v>573</v>
      </c>
      <c r="C285" t="s">
        <v>78</v>
      </c>
      <c r="D285" t="s">
        <v>218</v>
      </c>
      <c r="E285" t="s">
        <v>17</v>
      </c>
      <c r="F285" t="s">
        <v>60</v>
      </c>
      <c r="G285" t="s">
        <v>19</v>
      </c>
      <c r="H285" t="s">
        <v>29</v>
      </c>
      <c r="I285">
        <v>1034</v>
      </c>
      <c r="J285">
        <v>1</v>
      </c>
      <c r="K285">
        <v>4.5</v>
      </c>
      <c r="L285">
        <v>4</v>
      </c>
      <c r="M285" t="s">
        <v>37</v>
      </c>
    </row>
    <row r="286" spans="1:13" x14ac:dyDescent="0.3">
      <c r="A286" t="s">
        <v>574</v>
      </c>
      <c r="B286" t="s">
        <v>454</v>
      </c>
      <c r="C286" t="s">
        <v>45</v>
      </c>
      <c r="D286" t="s">
        <v>116</v>
      </c>
      <c r="E286" t="s">
        <v>17</v>
      </c>
      <c r="F286" t="s">
        <v>60</v>
      </c>
      <c r="G286" t="s">
        <v>19</v>
      </c>
      <c r="H286" t="s">
        <v>29</v>
      </c>
      <c r="I286">
        <v>11921</v>
      </c>
      <c r="J286">
        <v>7</v>
      </c>
      <c r="K286">
        <v>4.5</v>
      </c>
      <c r="L286">
        <v>4</v>
      </c>
      <c r="M286" t="s">
        <v>55</v>
      </c>
    </row>
    <row r="287" spans="1:13" x14ac:dyDescent="0.3">
      <c r="A287" t="s">
        <v>575</v>
      </c>
      <c r="B287" t="s">
        <v>576</v>
      </c>
      <c r="C287" t="s">
        <v>50</v>
      </c>
      <c r="D287" t="s">
        <v>79</v>
      </c>
      <c r="E287" t="s">
        <v>26</v>
      </c>
      <c r="F287" t="s">
        <v>18</v>
      </c>
      <c r="G287" t="s">
        <v>28</v>
      </c>
      <c r="H287" t="s">
        <v>29</v>
      </c>
      <c r="I287">
        <v>18235</v>
      </c>
      <c r="J287">
        <v>5</v>
      </c>
      <c r="K287">
        <v>4.5</v>
      </c>
      <c r="L287">
        <v>2</v>
      </c>
      <c r="M287" t="s">
        <v>37</v>
      </c>
    </row>
    <row r="288" spans="1:13" x14ac:dyDescent="0.3">
      <c r="A288" t="s">
        <v>577</v>
      </c>
      <c r="B288" t="s">
        <v>261</v>
      </c>
      <c r="C288" t="s">
        <v>33</v>
      </c>
      <c r="D288" t="s">
        <v>59</v>
      </c>
      <c r="E288" t="s">
        <v>26</v>
      </c>
      <c r="F288" t="s">
        <v>83</v>
      </c>
      <c r="G288" t="s">
        <v>104</v>
      </c>
      <c r="H288" t="s">
        <v>36</v>
      </c>
      <c r="I288">
        <v>25320</v>
      </c>
      <c r="J288">
        <v>3</v>
      </c>
      <c r="K288">
        <v>4.5</v>
      </c>
      <c r="L288">
        <v>3</v>
      </c>
      <c r="M288" t="s">
        <v>80</v>
      </c>
    </row>
    <row r="289" spans="1:13" x14ac:dyDescent="0.3">
      <c r="A289" t="s">
        <v>578</v>
      </c>
      <c r="B289" t="s">
        <v>579</v>
      </c>
      <c r="C289" t="s">
        <v>133</v>
      </c>
      <c r="D289" t="s">
        <v>59</v>
      </c>
      <c r="E289" t="s">
        <v>26</v>
      </c>
      <c r="F289" t="s">
        <v>100</v>
      </c>
      <c r="G289" t="s">
        <v>28</v>
      </c>
      <c r="H289" t="s">
        <v>36</v>
      </c>
      <c r="I289">
        <v>22872</v>
      </c>
      <c r="J289">
        <v>6</v>
      </c>
      <c r="K289">
        <v>4.0999999999999996</v>
      </c>
      <c r="L289">
        <v>3</v>
      </c>
      <c r="M289" t="s">
        <v>65</v>
      </c>
    </row>
    <row r="290" spans="1:13" x14ac:dyDescent="0.3">
      <c r="A290" t="s">
        <v>580</v>
      </c>
      <c r="B290" t="s">
        <v>581</v>
      </c>
      <c r="C290" t="s">
        <v>68</v>
      </c>
      <c r="D290" t="s">
        <v>34</v>
      </c>
      <c r="E290" t="s">
        <v>35</v>
      </c>
      <c r="F290" t="s">
        <v>27</v>
      </c>
      <c r="G290" t="s">
        <v>104</v>
      </c>
      <c r="H290" t="s">
        <v>64</v>
      </c>
      <c r="I290">
        <v>245874</v>
      </c>
      <c r="J290">
        <v>6</v>
      </c>
      <c r="K290">
        <v>4.2</v>
      </c>
      <c r="L290">
        <v>1</v>
      </c>
      <c r="M290" t="s">
        <v>37</v>
      </c>
    </row>
    <row r="291" spans="1:13" x14ac:dyDescent="0.3">
      <c r="A291" t="s">
        <v>582</v>
      </c>
      <c r="B291" t="s">
        <v>583</v>
      </c>
      <c r="C291" t="s">
        <v>112</v>
      </c>
      <c r="D291" t="s">
        <v>63</v>
      </c>
      <c r="E291" t="s">
        <v>52</v>
      </c>
      <c r="F291" t="s">
        <v>53</v>
      </c>
      <c r="G291" t="s">
        <v>28</v>
      </c>
      <c r="H291" t="s">
        <v>64</v>
      </c>
      <c r="I291">
        <v>4284</v>
      </c>
      <c r="J291">
        <v>6</v>
      </c>
      <c r="K291">
        <v>4.5</v>
      </c>
      <c r="L291">
        <v>1</v>
      </c>
      <c r="M291" t="s">
        <v>144</v>
      </c>
    </row>
    <row r="292" spans="1:13" x14ac:dyDescent="0.3">
      <c r="A292" t="s">
        <v>584</v>
      </c>
      <c r="B292" t="s">
        <v>585</v>
      </c>
      <c r="C292" t="s">
        <v>75</v>
      </c>
      <c r="D292" t="s">
        <v>218</v>
      </c>
      <c r="E292" t="s">
        <v>17</v>
      </c>
      <c r="F292" t="s">
        <v>83</v>
      </c>
      <c r="G292" t="s">
        <v>19</v>
      </c>
      <c r="H292" t="s">
        <v>64</v>
      </c>
      <c r="I292">
        <v>3824</v>
      </c>
      <c r="J292">
        <v>4</v>
      </c>
      <c r="K292">
        <v>4.9000000000000004</v>
      </c>
      <c r="L292">
        <v>1</v>
      </c>
      <c r="M292" t="s">
        <v>192</v>
      </c>
    </row>
    <row r="293" spans="1:13" x14ac:dyDescent="0.3">
      <c r="A293" t="s">
        <v>586</v>
      </c>
      <c r="B293" t="s">
        <v>587</v>
      </c>
      <c r="C293" t="s">
        <v>75</v>
      </c>
      <c r="D293" t="s">
        <v>86</v>
      </c>
      <c r="E293" t="s">
        <v>17</v>
      </c>
      <c r="F293" t="s">
        <v>18</v>
      </c>
      <c r="G293" t="s">
        <v>54</v>
      </c>
      <c r="H293" t="s">
        <v>20</v>
      </c>
      <c r="I293">
        <v>11368</v>
      </c>
      <c r="J293">
        <v>7</v>
      </c>
      <c r="K293">
        <v>4.5</v>
      </c>
      <c r="L293">
        <v>1</v>
      </c>
      <c r="M293" t="s">
        <v>30</v>
      </c>
    </row>
    <row r="294" spans="1:13" x14ac:dyDescent="0.3">
      <c r="A294" t="s">
        <v>588</v>
      </c>
      <c r="B294" t="s">
        <v>589</v>
      </c>
      <c r="C294" t="s">
        <v>15</v>
      </c>
      <c r="D294" t="s">
        <v>165</v>
      </c>
      <c r="E294" t="s">
        <v>35</v>
      </c>
      <c r="F294" t="s">
        <v>60</v>
      </c>
      <c r="G294" t="s">
        <v>54</v>
      </c>
      <c r="H294" t="s">
        <v>36</v>
      </c>
      <c r="I294">
        <v>213440</v>
      </c>
      <c r="J294">
        <v>4</v>
      </c>
      <c r="K294">
        <v>3.9</v>
      </c>
      <c r="L294">
        <v>6</v>
      </c>
      <c r="M294" t="s">
        <v>87</v>
      </c>
    </row>
    <row r="295" spans="1:13" x14ac:dyDescent="0.3">
      <c r="A295" t="s">
        <v>590</v>
      </c>
      <c r="B295" t="s">
        <v>99</v>
      </c>
      <c r="C295" t="s">
        <v>45</v>
      </c>
      <c r="D295" t="s">
        <v>25</v>
      </c>
      <c r="E295" t="s">
        <v>26</v>
      </c>
      <c r="F295" t="s">
        <v>18</v>
      </c>
      <c r="G295" t="s">
        <v>104</v>
      </c>
      <c r="H295" t="s">
        <v>64</v>
      </c>
      <c r="I295">
        <v>2538</v>
      </c>
      <c r="J295">
        <v>1</v>
      </c>
      <c r="K295">
        <v>3.7</v>
      </c>
      <c r="L295">
        <v>5</v>
      </c>
      <c r="M295" t="s">
        <v>30</v>
      </c>
    </row>
    <row r="296" spans="1:13" x14ac:dyDescent="0.3">
      <c r="A296" t="s">
        <v>591</v>
      </c>
      <c r="B296" t="s">
        <v>167</v>
      </c>
      <c r="C296" t="s">
        <v>72</v>
      </c>
      <c r="D296" t="s">
        <v>90</v>
      </c>
      <c r="E296" t="s">
        <v>42</v>
      </c>
      <c r="F296" t="s">
        <v>53</v>
      </c>
      <c r="G296" t="s">
        <v>104</v>
      </c>
      <c r="H296" t="s">
        <v>36</v>
      </c>
      <c r="I296">
        <v>2501</v>
      </c>
      <c r="J296">
        <v>1</v>
      </c>
      <c r="K296">
        <v>4.5</v>
      </c>
      <c r="L296">
        <v>5</v>
      </c>
      <c r="M296" t="s">
        <v>119</v>
      </c>
    </row>
    <row r="297" spans="1:13" x14ac:dyDescent="0.3">
      <c r="A297" t="s">
        <v>592</v>
      </c>
      <c r="B297" t="s">
        <v>593</v>
      </c>
      <c r="C297" t="s">
        <v>179</v>
      </c>
      <c r="D297" t="s">
        <v>79</v>
      </c>
      <c r="E297" t="s">
        <v>26</v>
      </c>
      <c r="F297" t="s">
        <v>60</v>
      </c>
      <c r="G297" t="s">
        <v>19</v>
      </c>
      <c r="H297" t="s">
        <v>20</v>
      </c>
      <c r="I297">
        <v>2194</v>
      </c>
      <c r="J297">
        <v>1</v>
      </c>
      <c r="K297">
        <v>3.7</v>
      </c>
      <c r="L297">
        <v>6</v>
      </c>
      <c r="M297" t="s">
        <v>80</v>
      </c>
    </row>
    <row r="298" spans="1:13" x14ac:dyDescent="0.3">
      <c r="A298" t="s">
        <v>594</v>
      </c>
      <c r="B298" t="s">
        <v>595</v>
      </c>
      <c r="C298" t="s">
        <v>78</v>
      </c>
      <c r="D298" t="s">
        <v>63</v>
      </c>
      <c r="E298" t="s">
        <v>52</v>
      </c>
      <c r="F298" t="s">
        <v>18</v>
      </c>
      <c r="G298" t="s">
        <v>104</v>
      </c>
      <c r="H298" t="s">
        <v>36</v>
      </c>
      <c r="I298">
        <v>3595</v>
      </c>
      <c r="J298">
        <v>5</v>
      </c>
      <c r="K298">
        <v>4.7</v>
      </c>
      <c r="L298">
        <v>8</v>
      </c>
      <c r="M298" t="s">
        <v>192</v>
      </c>
    </row>
    <row r="299" spans="1:13" x14ac:dyDescent="0.3">
      <c r="A299" t="s">
        <v>596</v>
      </c>
      <c r="B299" t="s">
        <v>597</v>
      </c>
      <c r="C299" t="s">
        <v>179</v>
      </c>
      <c r="D299" t="s">
        <v>113</v>
      </c>
      <c r="E299" t="s">
        <v>35</v>
      </c>
      <c r="F299" t="s">
        <v>53</v>
      </c>
      <c r="G299" t="s">
        <v>28</v>
      </c>
      <c r="H299" t="s">
        <v>64</v>
      </c>
      <c r="I299">
        <v>154440</v>
      </c>
      <c r="J299">
        <v>8</v>
      </c>
      <c r="K299">
        <v>3.7</v>
      </c>
      <c r="L299">
        <v>2</v>
      </c>
      <c r="M299" t="s">
        <v>37</v>
      </c>
    </row>
    <row r="300" spans="1:13" x14ac:dyDescent="0.3">
      <c r="A300" t="s">
        <v>598</v>
      </c>
      <c r="B300" t="s">
        <v>599</v>
      </c>
      <c r="C300" t="s">
        <v>24</v>
      </c>
      <c r="D300" t="s">
        <v>165</v>
      </c>
      <c r="E300" t="s">
        <v>35</v>
      </c>
      <c r="F300" t="s">
        <v>18</v>
      </c>
      <c r="G300" t="s">
        <v>104</v>
      </c>
      <c r="H300" t="s">
        <v>20</v>
      </c>
      <c r="I300">
        <v>383140</v>
      </c>
      <c r="J300">
        <v>5</v>
      </c>
      <c r="K300">
        <v>4.7</v>
      </c>
      <c r="L300">
        <v>7</v>
      </c>
      <c r="M300" t="s">
        <v>119</v>
      </c>
    </row>
    <row r="301" spans="1:13" x14ac:dyDescent="0.3">
      <c r="A301" t="s">
        <v>600</v>
      </c>
      <c r="B301" t="s">
        <v>115</v>
      </c>
      <c r="C301" t="s">
        <v>125</v>
      </c>
      <c r="D301" t="s">
        <v>51</v>
      </c>
      <c r="E301" t="s">
        <v>52</v>
      </c>
      <c r="F301" t="s">
        <v>100</v>
      </c>
      <c r="G301" t="s">
        <v>54</v>
      </c>
      <c r="H301" t="s">
        <v>20</v>
      </c>
      <c r="I301">
        <v>9648</v>
      </c>
      <c r="J301">
        <v>6</v>
      </c>
      <c r="K301">
        <v>3.8</v>
      </c>
      <c r="L301">
        <v>5</v>
      </c>
      <c r="M301" t="s">
        <v>21</v>
      </c>
    </row>
    <row r="302" spans="1:13" x14ac:dyDescent="0.3">
      <c r="A302" t="s">
        <v>601</v>
      </c>
      <c r="B302" t="s">
        <v>237</v>
      </c>
      <c r="C302" t="s">
        <v>112</v>
      </c>
      <c r="D302" t="s">
        <v>25</v>
      </c>
      <c r="E302" t="s">
        <v>26</v>
      </c>
      <c r="F302" t="s">
        <v>27</v>
      </c>
      <c r="G302" t="s">
        <v>54</v>
      </c>
      <c r="H302" t="s">
        <v>64</v>
      </c>
      <c r="I302">
        <v>6156</v>
      </c>
      <c r="J302">
        <v>3</v>
      </c>
      <c r="K302">
        <v>4.5</v>
      </c>
      <c r="L302">
        <v>1</v>
      </c>
      <c r="M302" t="s">
        <v>21</v>
      </c>
    </row>
    <row r="303" spans="1:13" x14ac:dyDescent="0.3">
      <c r="A303" t="s">
        <v>602</v>
      </c>
      <c r="B303" t="s">
        <v>603</v>
      </c>
      <c r="C303" t="s">
        <v>72</v>
      </c>
      <c r="D303" t="s">
        <v>79</v>
      </c>
      <c r="E303" t="s">
        <v>26</v>
      </c>
      <c r="F303" t="s">
        <v>60</v>
      </c>
      <c r="G303" t="s">
        <v>54</v>
      </c>
      <c r="H303" t="s">
        <v>64</v>
      </c>
      <c r="I303">
        <v>33965</v>
      </c>
      <c r="J303">
        <v>5</v>
      </c>
      <c r="K303">
        <v>3.9</v>
      </c>
      <c r="L303">
        <v>5</v>
      </c>
      <c r="M303" t="s">
        <v>144</v>
      </c>
    </row>
    <row r="304" spans="1:13" x14ac:dyDescent="0.3">
      <c r="A304" t="s">
        <v>604</v>
      </c>
      <c r="B304" t="s">
        <v>605</v>
      </c>
      <c r="C304" t="s">
        <v>125</v>
      </c>
      <c r="D304" t="s">
        <v>165</v>
      </c>
      <c r="E304" t="s">
        <v>35</v>
      </c>
      <c r="F304" t="s">
        <v>53</v>
      </c>
      <c r="G304" t="s">
        <v>54</v>
      </c>
      <c r="H304" t="s">
        <v>20</v>
      </c>
      <c r="I304">
        <v>279552</v>
      </c>
      <c r="J304">
        <v>4</v>
      </c>
      <c r="K304">
        <v>3.5</v>
      </c>
      <c r="L304">
        <v>3</v>
      </c>
      <c r="M304" t="s">
        <v>144</v>
      </c>
    </row>
    <row r="305" spans="1:13" x14ac:dyDescent="0.3">
      <c r="A305" t="s">
        <v>606</v>
      </c>
      <c r="B305" t="s">
        <v>242</v>
      </c>
      <c r="C305" t="s">
        <v>50</v>
      </c>
      <c r="D305" t="s">
        <v>159</v>
      </c>
      <c r="E305" t="s">
        <v>42</v>
      </c>
      <c r="F305" t="s">
        <v>60</v>
      </c>
      <c r="G305" t="s">
        <v>28</v>
      </c>
      <c r="H305" t="s">
        <v>36</v>
      </c>
      <c r="I305">
        <v>11965</v>
      </c>
      <c r="J305">
        <v>5</v>
      </c>
      <c r="K305">
        <v>4.8</v>
      </c>
      <c r="L305">
        <v>6</v>
      </c>
      <c r="M305" t="s">
        <v>87</v>
      </c>
    </row>
    <row r="306" spans="1:13" x14ac:dyDescent="0.3">
      <c r="A306" t="s">
        <v>607</v>
      </c>
      <c r="B306" t="s">
        <v>183</v>
      </c>
      <c r="C306" t="s">
        <v>58</v>
      </c>
      <c r="D306" t="s">
        <v>218</v>
      </c>
      <c r="E306" t="s">
        <v>17</v>
      </c>
      <c r="F306" t="s">
        <v>27</v>
      </c>
      <c r="G306" t="s">
        <v>54</v>
      </c>
      <c r="H306" t="s">
        <v>29</v>
      </c>
      <c r="I306">
        <v>4195</v>
      </c>
      <c r="J306">
        <v>5</v>
      </c>
      <c r="K306">
        <v>4.4000000000000004</v>
      </c>
      <c r="L306">
        <v>6</v>
      </c>
      <c r="M306" t="s">
        <v>87</v>
      </c>
    </row>
    <row r="307" spans="1:13" x14ac:dyDescent="0.3">
      <c r="A307" t="s">
        <v>608</v>
      </c>
      <c r="B307" t="s">
        <v>174</v>
      </c>
      <c r="C307" t="s">
        <v>146</v>
      </c>
      <c r="D307" t="s">
        <v>159</v>
      </c>
      <c r="E307" t="s">
        <v>42</v>
      </c>
      <c r="F307" t="s">
        <v>83</v>
      </c>
      <c r="G307" t="s">
        <v>19</v>
      </c>
      <c r="H307" t="s">
        <v>36</v>
      </c>
      <c r="I307">
        <v>32543</v>
      </c>
      <c r="J307">
        <v>7</v>
      </c>
      <c r="K307">
        <v>3.2</v>
      </c>
      <c r="L307">
        <v>3</v>
      </c>
      <c r="M307" t="s">
        <v>65</v>
      </c>
    </row>
    <row r="308" spans="1:13" x14ac:dyDescent="0.3">
      <c r="A308" t="s">
        <v>609</v>
      </c>
      <c r="B308" t="s">
        <v>57</v>
      </c>
      <c r="C308" t="s">
        <v>170</v>
      </c>
      <c r="D308" t="s">
        <v>59</v>
      </c>
      <c r="E308" t="s">
        <v>26</v>
      </c>
      <c r="F308" t="s">
        <v>27</v>
      </c>
      <c r="G308" t="s">
        <v>54</v>
      </c>
      <c r="H308" t="s">
        <v>64</v>
      </c>
      <c r="I308">
        <v>8214</v>
      </c>
      <c r="J308">
        <v>3</v>
      </c>
      <c r="K308">
        <v>4.4000000000000004</v>
      </c>
      <c r="L308">
        <v>7</v>
      </c>
      <c r="M308" t="s">
        <v>37</v>
      </c>
    </row>
    <row r="309" spans="1:13" x14ac:dyDescent="0.3">
      <c r="A309" t="s">
        <v>610</v>
      </c>
      <c r="B309" t="s">
        <v>611</v>
      </c>
      <c r="C309" t="s">
        <v>72</v>
      </c>
      <c r="D309" t="s">
        <v>90</v>
      </c>
      <c r="E309" t="s">
        <v>42</v>
      </c>
      <c r="F309" t="s">
        <v>27</v>
      </c>
      <c r="G309" t="s">
        <v>54</v>
      </c>
      <c r="H309" t="s">
        <v>20</v>
      </c>
      <c r="I309">
        <v>8088</v>
      </c>
      <c r="J309">
        <v>3</v>
      </c>
      <c r="K309">
        <v>3.4</v>
      </c>
      <c r="L309">
        <v>3</v>
      </c>
      <c r="M309" t="s">
        <v>37</v>
      </c>
    </row>
    <row r="310" spans="1:13" x14ac:dyDescent="0.3">
      <c r="A310" t="s">
        <v>612</v>
      </c>
      <c r="B310" t="s">
        <v>533</v>
      </c>
      <c r="C310" t="s">
        <v>75</v>
      </c>
      <c r="D310" t="s">
        <v>86</v>
      </c>
      <c r="E310" t="s">
        <v>17</v>
      </c>
      <c r="F310" t="s">
        <v>83</v>
      </c>
      <c r="G310" t="s">
        <v>28</v>
      </c>
      <c r="H310" t="s">
        <v>64</v>
      </c>
      <c r="I310">
        <v>4074</v>
      </c>
      <c r="J310">
        <v>3</v>
      </c>
      <c r="K310">
        <v>3.2</v>
      </c>
      <c r="L310">
        <v>5</v>
      </c>
      <c r="M310" t="s">
        <v>21</v>
      </c>
    </row>
    <row r="311" spans="1:13" x14ac:dyDescent="0.3">
      <c r="A311" t="s">
        <v>613</v>
      </c>
      <c r="B311" t="s">
        <v>226</v>
      </c>
      <c r="C311" t="s">
        <v>24</v>
      </c>
      <c r="D311" t="s">
        <v>159</v>
      </c>
      <c r="E311" t="s">
        <v>42</v>
      </c>
      <c r="F311" t="s">
        <v>27</v>
      </c>
      <c r="G311" t="s">
        <v>104</v>
      </c>
      <c r="H311" t="s">
        <v>64</v>
      </c>
      <c r="I311">
        <v>15323</v>
      </c>
      <c r="J311">
        <v>7</v>
      </c>
      <c r="K311">
        <v>4.4000000000000004</v>
      </c>
      <c r="L311">
        <v>5</v>
      </c>
      <c r="M311" t="s">
        <v>37</v>
      </c>
    </row>
    <row r="312" spans="1:13" x14ac:dyDescent="0.3">
      <c r="A312" t="s">
        <v>614</v>
      </c>
      <c r="B312" t="s">
        <v>615</v>
      </c>
      <c r="C312" t="s">
        <v>72</v>
      </c>
      <c r="D312" t="s">
        <v>25</v>
      </c>
      <c r="E312" t="s">
        <v>26</v>
      </c>
      <c r="F312" t="s">
        <v>100</v>
      </c>
      <c r="G312" t="s">
        <v>54</v>
      </c>
      <c r="H312" t="s">
        <v>20</v>
      </c>
      <c r="I312">
        <v>28805</v>
      </c>
      <c r="J312">
        <v>7</v>
      </c>
      <c r="K312">
        <v>4.0999999999999996</v>
      </c>
      <c r="L312">
        <v>7</v>
      </c>
      <c r="M312" t="s">
        <v>37</v>
      </c>
    </row>
    <row r="313" spans="1:13" x14ac:dyDescent="0.3">
      <c r="A313" t="s">
        <v>616</v>
      </c>
      <c r="B313" t="s">
        <v>387</v>
      </c>
      <c r="C313" t="s">
        <v>112</v>
      </c>
      <c r="D313" t="s">
        <v>41</v>
      </c>
      <c r="E313" t="s">
        <v>42</v>
      </c>
      <c r="F313" t="s">
        <v>60</v>
      </c>
      <c r="G313" t="s">
        <v>104</v>
      </c>
      <c r="H313" t="s">
        <v>36</v>
      </c>
      <c r="I313">
        <v>11286</v>
      </c>
      <c r="J313">
        <v>2</v>
      </c>
      <c r="K313">
        <v>4.7</v>
      </c>
      <c r="L313">
        <v>7</v>
      </c>
      <c r="M313" t="s">
        <v>65</v>
      </c>
    </row>
    <row r="314" spans="1:13" x14ac:dyDescent="0.3">
      <c r="A314" t="s">
        <v>617</v>
      </c>
      <c r="B314" t="s">
        <v>615</v>
      </c>
      <c r="C314" t="s">
        <v>125</v>
      </c>
      <c r="D314" t="s">
        <v>69</v>
      </c>
      <c r="E314" t="s">
        <v>26</v>
      </c>
      <c r="F314" t="s">
        <v>83</v>
      </c>
      <c r="G314" t="s">
        <v>54</v>
      </c>
      <c r="H314" t="s">
        <v>29</v>
      </c>
      <c r="I314">
        <v>19200</v>
      </c>
      <c r="J314">
        <v>8</v>
      </c>
      <c r="K314">
        <v>4</v>
      </c>
      <c r="L314">
        <v>5</v>
      </c>
      <c r="M314" t="s">
        <v>37</v>
      </c>
    </row>
    <row r="315" spans="1:13" x14ac:dyDescent="0.3">
      <c r="A315" t="s">
        <v>618</v>
      </c>
      <c r="B315" t="s">
        <v>619</v>
      </c>
      <c r="C315" t="s">
        <v>179</v>
      </c>
      <c r="D315" t="s">
        <v>69</v>
      </c>
      <c r="E315" t="s">
        <v>26</v>
      </c>
      <c r="F315" t="s">
        <v>27</v>
      </c>
      <c r="G315" t="s">
        <v>104</v>
      </c>
      <c r="H315" t="s">
        <v>64</v>
      </c>
      <c r="I315">
        <v>10920</v>
      </c>
      <c r="J315">
        <v>4</v>
      </c>
      <c r="K315">
        <v>4.0999999999999996</v>
      </c>
      <c r="L315">
        <v>7</v>
      </c>
      <c r="M315" t="s">
        <v>21</v>
      </c>
    </row>
    <row r="316" spans="1:13" x14ac:dyDescent="0.3">
      <c r="A316" t="s">
        <v>620</v>
      </c>
      <c r="B316" t="s">
        <v>458</v>
      </c>
      <c r="C316" t="s">
        <v>50</v>
      </c>
      <c r="D316" t="s">
        <v>113</v>
      </c>
      <c r="E316" t="s">
        <v>35</v>
      </c>
      <c r="F316" t="s">
        <v>83</v>
      </c>
      <c r="G316" t="s">
        <v>28</v>
      </c>
      <c r="H316" t="s">
        <v>64</v>
      </c>
      <c r="I316">
        <v>257243</v>
      </c>
      <c r="J316">
        <v>7</v>
      </c>
      <c r="K316">
        <v>4.2</v>
      </c>
      <c r="L316">
        <v>5</v>
      </c>
      <c r="M316" t="s">
        <v>80</v>
      </c>
    </row>
    <row r="317" spans="1:13" x14ac:dyDescent="0.3">
      <c r="A317" t="s">
        <v>621</v>
      </c>
      <c r="B317" t="s">
        <v>622</v>
      </c>
      <c r="C317" t="s">
        <v>122</v>
      </c>
      <c r="D317" t="s">
        <v>109</v>
      </c>
      <c r="E317" t="s">
        <v>52</v>
      </c>
      <c r="F317" t="s">
        <v>60</v>
      </c>
      <c r="G317" t="s">
        <v>19</v>
      </c>
      <c r="H317" t="s">
        <v>36</v>
      </c>
      <c r="I317">
        <v>12048</v>
      </c>
      <c r="J317">
        <v>8</v>
      </c>
      <c r="K317">
        <v>4.5</v>
      </c>
      <c r="L317">
        <v>2</v>
      </c>
      <c r="M317" t="s">
        <v>30</v>
      </c>
    </row>
    <row r="318" spans="1:13" x14ac:dyDescent="0.3">
      <c r="A318" t="s">
        <v>623</v>
      </c>
      <c r="B318" t="s">
        <v>624</v>
      </c>
      <c r="C318" t="s">
        <v>75</v>
      </c>
      <c r="D318" t="s">
        <v>51</v>
      </c>
      <c r="E318" t="s">
        <v>52</v>
      </c>
      <c r="F318" t="s">
        <v>18</v>
      </c>
      <c r="G318" t="s">
        <v>104</v>
      </c>
      <c r="H318" t="s">
        <v>20</v>
      </c>
      <c r="I318">
        <v>1843</v>
      </c>
      <c r="J318">
        <v>1</v>
      </c>
      <c r="K318">
        <v>4</v>
      </c>
      <c r="L318">
        <v>7</v>
      </c>
      <c r="M318" t="s">
        <v>126</v>
      </c>
    </row>
    <row r="319" spans="1:13" x14ac:dyDescent="0.3">
      <c r="A319" t="s">
        <v>625</v>
      </c>
      <c r="B319" t="s">
        <v>626</v>
      </c>
      <c r="C319" t="s">
        <v>24</v>
      </c>
      <c r="D319" t="s">
        <v>113</v>
      </c>
      <c r="E319" t="s">
        <v>35</v>
      </c>
      <c r="F319" t="s">
        <v>27</v>
      </c>
      <c r="G319" t="s">
        <v>28</v>
      </c>
      <c r="H319" t="s">
        <v>64</v>
      </c>
      <c r="I319">
        <v>55013</v>
      </c>
      <c r="J319">
        <v>1</v>
      </c>
      <c r="K319">
        <v>4.0999999999999996</v>
      </c>
      <c r="L319">
        <v>1</v>
      </c>
      <c r="M319" t="s">
        <v>192</v>
      </c>
    </row>
    <row r="320" spans="1:13" x14ac:dyDescent="0.3">
      <c r="A320" t="s">
        <v>627</v>
      </c>
      <c r="B320" t="s">
        <v>275</v>
      </c>
      <c r="C320" t="s">
        <v>33</v>
      </c>
      <c r="D320" t="s">
        <v>86</v>
      </c>
      <c r="E320" t="s">
        <v>17</v>
      </c>
      <c r="F320" t="s">
        <v>53</v>
      </c>
      <c r="G320" t="s">
        <v>19</v>
      </c>
      <c r="H320" t="s">
        <v>36</v>
      </c>
      <c r="I320">
        <v>3490</v>
      </c>
      <c r="J320">
        <v>5</v>
      </c>
      <c r="K320">
        <v>4.5</v>
      </c>
      <c r="L320">
        <v>3</v>
      </c>
      <c r="M320" t="s">
        <v>119</v>
      </c>
    </row>
    <row r="321" spans="1:13" x14ac:dyDescent="0.3">
      <c r="A321" t="s">
        <v>628</v>
      </c>
      <c r="B321" t="s">
        <v>115</v>
      </c>
      <c r="C321" t="s">
        <v>75</v>
      </c>
      <c r="D321" t="s">
        <v>147</v>
      </c>
      <c r="E321" t="s">
        <v>52</v>
      </c>
      <c r="F321" t="s">
        <v>100</v>
      </c>
      <c r="G321" t="s">
        <v>104</v>
      </c>
      <c r="H321" t="s">
        <v>29</v>
      </c>
      <c r="I321">
        <v>13076</v>
      </c>
      <c r="J321">
        <v>7</v>
      </c>
      <c r="K321">
        <v>4.0999999999999996</v>
      </c>
      <c r="L321">
        <v>2</v>
      </c>
      <c r="M321" t="s">
        <v>21</v>
      </c>
    </row>
    <row r="322" spans="1:13" x14ac:dyDescent="0.3">
      <c r="A322" t="s">
        <v>629</v>
      </c>
      <c r="B322" t="s">
        <v>630</v>
      </c>
      <c r="C322" t="s">
        <v>78</v>
      </c>
      <c r="D322" t="s">
        <v>130</v>
      </c>
      <c r="E322" t="s">
        <v>35</v>
      </c>
      <c r="F322" t="s">
        <v>18</v>
      </c>
      <c r="G322" t="s">
        <v>104</v>
      </c>
      <c r="H322" t="s">
        <v>29</v>
      </c>
      <c r="I322">
        <v>311416</v>
      </c>
      <c r="J322">
        <v>4</v>
      </c>
      <c r="K322">
        <v>3.5</v>
      </c>
      <c r="L322">
        <v>2</v>
      </c>
      <c r="M322" t="s">
        <v>37</v>
      </c>
    </row>
    <row r="323" spans="1:13" x14ac:dyDescent="0.3">
      <c r="A323" t="s">
        <v>631</v>
      </c>
      <c r="B323" t="s">
        <v>587</v>
      </c>
      <c r="C323" t="s">
        <v>146</v>
      </c>
      <c r="D323" t="s">
        <v>218</v>
      </c>
      <c r="E323" t="s">
        <v>17</v>
      </c>
      <c r="F323" t="s">
        <v>27</v>
      </c>
      <c r="G323" t="s">
        <v>28</v>
      </c>
      <c r="H323" t="s">
        <v>36</v>
      </c>
      <c r="I323">
        <v>8605</v>
      </c>
      <c r="J323">
        <v>5</v>
      </c>
      <c r="K323">
        <v>4.5999999999999996</v>
      </c>
      <c r="L323">
        <v>6</v>
      </c>
      <c r="M323" t="s">
        <v>30</v>
      </c>
    </row>
    <row r="324" spans="1:13" x14ac:dyDescent="0.3">
      <c r="A324" t="s">
        <v>632</v>
      </c>
      <c r="B324" t="s">
        <v>533</v>
      </c>
      <c r="C324" t="s">
        <v>103</v>
      </c>
      <c r="D324" t="s">
        <v>41</v>
      </c>
      <c r="E324" t="s">
        <v>42</v>
      </c>
      <c r="F324" t="s">
        <v>83</v>
      </c>
      <c r="G324" t="s">
        <v>104</v>
      </c>
      <c r="H324" t="s">
        <v>36</v>
      </c>
      <c r="I324">
        <v>6572</v>
      </c>
      <c r="J324">
        <v>2</v>
      </c>
      <c r="K324">
        <v>4.9000000000000004</v>
      </c>
      <c r="L324">
        <v>1</v>
      </c>
      <c r="M324" t="s">
        <v>21</v>
      </c>
    </row>
    <row r="325" spans="1:13" x14ac:dyDescent="0.3">
      <c r="A325" t="s">
        <v>633</v>
      </c>
      <c r="B325" t="s">
        <v>559</v>
      </c>
      <c r="C325" t="s">
        <v>125</v>
      </c>
      <c r="D325" t="s">
        <v>46</v>
      </c>
      <c r="E325" t="s">
        <v>42</v>
      </c>
      <c r="F325" t="s">
        <v>27</v>
      </c>
      <c r="G325" t="s">
        <v>19</v>
      </c>
      <c r="H325" t="s">
        <v>20</v>
      </c>
      <c r="I325">
        <v>7470</v>
      </c>
      <c r="J325">
        <v>3</v>
      </c>
      <c r="K325">
        <v>3.7</v>
      </c>
      <c r="L325">
        <v>4</v>
      </c>
      <c r="M325" t="s">
        <v>87</v>
      </c>
    </row>
    <row r="326" spans="1:13" x14ac:dyDescent="0.3">
      <c r="A326" t="s">
        <v>634</v>
      </c>
      <c r="B326" t="s">
        <v>635</v>
      </c>
      <c r="C326" t="s">
        <v>75</v>
      </c>
      <c r="D326" t="s">
        <v>109</v>
      </c>
      <c r="E326" t="s">
        <v>52</v>
      </c>
      <c r="F326" t="s">
        <v>27</v>
      </c>
      <c r="G326" t="s">
        <v>28</v>
      </c>
      <c r="H326" t="s">
        <v>36</v>
      </c>
      <c r="I326">
        <v>5088</v>
      </c>
      <c r="J326">
        <v>4</v>
      </c>
      <c r="K326">
        <v>4.5999999999999996</v>
      </c>
      <c r="L326">
        <v>2</v>
      </c>
      <c r="M326" t="s">
        <v>37</v>
      </c>
    </row>
    <row r="327" spans="1:13" x14ac:dyDescent="0.3">
      <c r="A327" t="s">
        <v>636</v>
      </c>
      <c r="B327" t="s">
        <v>637</v>
      </c>
      <c r="C327" t="s">
        <v>50</v>
      </c>
      <c r="D327" t="s">
        <v>25</v>
      </c>
      <c r="E327" t="s">
        <v>26</v>
      </c>
      <c r="F327" t="s">
        <v>83</v>
      </c>
      <c r="G327" t="s">
        <v>19</v>
      </c>
      <c r="H327" t="s">
        <v>36</v>
      </c>
      <c r="I327">
        <v>31806</v>
      </c>
      <c r="J327">
        <v>6</v>
      </c>
      <c r="K327">
        <v>4.0999999999999996</v>
      </c>
      <c r="L327">
        <v>5</v>
      </c>
      <c r="M327" t="s">
        <v>65</v>
      </c>
    </row>
    <row r="328" spans="1:13" x14ac:dyDescent="0.3">
      <c r="A328" t="s">
        <v>638</v>
      </c>
      <c r="B328" t="s">
        <v>446</v>
      </c>
      <c r="C328" t="s">
        <v>170</v>
      </c>
      <c r="D328" t="s">
        <v>69</v>
      </c>
      <c r="E328" t="s">
        <v>26</v>
      </c>
      <c r="F328" t="s">
        <v>27</v>
      </c>
      <c r="G328" t="s">
        <v>54</v>
      </c>
      <c r="H328" t="s">
        <v>36</v>
      </c>
      <c r="I328">
        <v>8290</v>
      </c>
      <c r="J328">
        <v>1</v>
      </c>
      <c r="K328">
        <v>5</v>
      </c>
      <c r="L328">
        <v>8</v>
      </c>
      <c r="M328" t="s">
        <v>65</v>
      </c>
    </row>
    <row r="329" spans="1:13" x14ac:dyDescent="0.3">
      <c r="A329" t="s">
        <v>639</v>
      </c>
      <c r="B329" t="s">
        <v>640</v>
      </c>
      <c r="C329" t="s">
        <v>103</v>
      </c>
      <c r="D329" t="s">
        <v>51</v>
      </c>
      <c r="E329" t="s">
        <v>52</v>
      </c>
      <c r="F329" t="s">
        <v>60</v>
      </c>
      <c r="G329" t="s">
        <v>104</v>
      </c>
      <c r="H329" t="s">
        <v>29</v>
      </c>
      <c r="I329">
        <v>3462</v>
      </c>
      <c r="J329">
        <v>2</v>
      </c>
      <c r="K329">
        <v>4.2</v>
      </c>
      <c r="L329">
        <v>4</v>
      </c>
      <c r="M329" t="s">
        <v>30</v>
      </c>
    </row>
    <row r="330" spans="1:13" x14ac:dyDescent="0.3">
      <c r="A330" t="s">
        <v>641</v>
      </c>
      <c r="B330" t="s">
        <v>434</v>
      </c>
      <c r="C330" t="s">
        <v>58</v>
      </c>
      <c r="D330" t="s">
        <v>51</v>
      </c>
      <c r="E330" t="s">
        <v>52</v>
      </c>
      <c r="F330" t="s">
        <v>27</v>
      </c>
      <c r="G330" t="s">
        <v>19</v>
      </c>
      <c r="H330" t="s">
        <v>36</v>
      </c>
      <c r="I330">
        <v>7096</v>
      </c>
      <c r="J330">
        <v>4</v>
      </c>
      <c r="K330">
        <v>4</v>
      </c>
      <c r="L330">
        <v>3</v>
      </c>
      <c r="M330" t="s">
        <v>47</v>
      </c>
    </row>
    <row r="331" spans="1:13" x14ac:dyDescent="0.3">
      <c r="A331" t="s">
        <v>642</v>
      </c>
      <c r="B331" t="s">
        <v>429</v>
      </c>
      <c r="C331" t="s">
        <v>133</v>
      </c>
      <c r="D331" t="s">
        <v>34</v>
      </c>
      <c r="E331" t="s">
        <v>35</v>
      </c>
      <c r="F331" t="s">
        <v>60</v>
      </c>
      <c r="G331" t="s">
        <v>19</v>
      </c>
      <c r="H331" t="s">
        <v>29</v>
      </c>
      <c r="I331">
        <v>151312</v>
      </c>
      <c r="J331">
        <v>7</v>
      </c>
      <c r="K331">
        <v>4.7</v>
      </c>
      <c r="L331">
        <v>3</v>
      </c>
      <c r="M331" t="s">
        <v>30</v>
      </c>
    </row>
    <row r="332" spans="1:13" x14ac:dyDescent="0.3">
      <c r="A332" t="s">
        <v>643</v>
      </c>
      <c r="B332" t="s">
        <v>195</v>
      </c>
      <c r="C332" t="s">
        <v>68</v>
      </c>
      <c r="D332" t="s">
        <v>46</v>
      </c>
      <c r="E332" t="s">
        <v>42</v>
      </c>
      <c r="F332" t="s">
        <v>60</v>
      </c>
      <c r="G332" t="s">
        <v>104</v>
      </c>
      <c r="H332" t="s">
        <v>29</v>
      </c>
      <c r="I332">
        <v>1191</v>
      </c>
      <c r="J332">
        <v>1</v>
      </c>
      <c r="K332">
        <v>4.7</v>
      </c>
      <c r="L332">
        <v>8</v>
      </c>
      <c r="M332" t="s">
        <v>21</v>
      </c>
    </row>
    <row r="333" spans="1:13" x14ac:dyDescent="0.3">
      <c r="A333" t="s">
        <v>644</v>
      </c>
      <c r="B333" t="s">
        <v>622</v>
      </c>
      <c r="C333" t="s">
        <v>58</v>
      </c>
      <c r="D333" t="s">
        <v>130</v>
      </c>
      <c r="E333" t="s">
        <v>35</v>
      </c>
      <c r="F333" t="s">
        <v>100</v>
      </c>
      <c r="G333" t="s">
        <v>19</v>
      </c>
      <c r="H333" t="s">
        <v>29</v>
      </c>
      <c r="I333">
        <v>282350</v>
      </c>
      <c r="J333">
        <v>5</v>
      </c>
      <c r="K333">
        <v>4.8</v>
      </c>
      <c r="L333">
        <v>4</v>
      </c>
      <c r="M333" t="s">
        <v>30</v>
      </c>
    </row>
    <row r="334" spans="1:13" x14ac:dyDescent="0.3">
      <c r="A334" t="s">
        <v>645</v>
      </c>
      <c r="B334" t="s">
        <v>646</v>
      </c>
      <c r="C334" t="s">
        <v>24</v>
      </c>
      <c r="D334" t="s">
        <v>130</v>
      </c>
      <c r="E334" t="s">
        <v>35</v>
      </c>
      <c r="F334" t="s">
        <v>27</v>
      </c>
      <c r="G334" t="s">
        <v>104</v>
      </c>
      <c r="H334" t="s">
        <v>64</v>
      </c>
      <c r="I334">
        <v>419576</v>
      </c>
      <c r="J334">
        <v>8</v>
      </c>
      <c r="K334">
        <v>4</v>
      </c>
      <c r="L334">
        <v>3</v>
      </c>
      <c r="M334" t="s">
        <v>119</v>
      </c>
    </row>
    <row r="335" spans="1:13" x14ac:dyDescent="0.3">
      <c r="A335" t="s">
        <v>647</v>
      </c>
      <c r="B335" t="s">
        <v>589</v>
      </c>
      <c r="C335" t="s">
        <v>45</v>
      </c>
      <c r="D335" t="s">
        <v>69</v>
      </c>
      <c r="E335" t="s">
        <v>26</v>
      </c>
      <c r="F335" t="s">
        <v>27</v>
      </c>
      <c r="G335" t="s">
        <v>28</v>
      </c>
      <c r="H335" t="s">
        <v>29</v>
      </c>
      <c r="I335">
        <v>11982</v>
      </c>
      <c r="J335">
        <v>2</v>
      </c>
      <c r="K335">
        <v>4.4000000000000004</v>
      </c>
      <c r="L335">
        <v>5</v>
      </c>
      <c r="M335" t="s">
        <v>87</v>
      </c>
    </row>
    <row r="336" spans="1:13" x14ac:dyDescent="0.3">
      <c r="A336" t="s">
        <v>648</v>
      </c>
      <c r="B336" t="s">
        <v>222</v>
      </c>
      <c r="C336" t="s">
        <v>75</v>
      </c>
      <c r="D336" t="s">
        <v>46</v>
      </c>
      <c r="E336" t="s">
        <v>42</v>
      </c>
      <c r="F336" t="s">
        <v>83</v>
      </c>
      <c r="G336" t="s">
        <v>19</v>
      </c>
      <c r="H336" t="s">
        <v>64</v>
      </c>
      <c r="I336">
        <v>7112</v>
      </c>
      <c r="J336">
        <v>8</v>
      </c>
      <c r="K336">
        <v>4.5</v>
      </c>
      <c r="L336">
        <v>5</v>
      </c>
      <c r="M336" t="s">
        <v>30</v>
      </c>
    </row>
    <row r="337" spans="1:13" x14ac:dyDescent="0.3">
      <c r="A337" t="s">
        <v>649</v>
      </c>
      <c r="B337" t="s">
        <v>242</v>
      </c>
      <c r="C337" t="s">
        <v>68</v>
      </c>
      <c r="D337" t="s">
        <v>16</v>
      </c>
      <c r="E337" t="s">
        <v>17</v>
      </c>
      <c r="F337" t="s">
        <v>53</v>
      </c>
      <c r="G337" t="s">
        <v>19</v>
      </c>
      <c r="H337" t="s">
        <v>36</v>
      </c>
      <c r="I337">
        <v>11384</v>
      </c>
      <c r="J337">
        <v>8</v>
      </c>
      <c r="K337">
        <v>4.5999999999999996</v>
      </c>
      <c r="L337">
        <v>2</v>
      </c>
      <c r="M337" t="s">
        <v>87</v>
      </c>
    </row>
    <row r="338" spans="1:13" x14ac:dyDescent="0.3">
      <c r="A338" t="s">
        <v>650</v>
      </c>
      <c r="B338" t="s">
        <v>615</v>
      </c>
      <c r="C338" t="s">
        <v>15</v>
      </c>
      <c r="D338" t="s">
        <v>46</v>
      </c>
      <c r="E338" t="s">
        <v>42</v>
      </c>
      <c r="F338" t="s">
        <v>18</v>
      </c>
      <c r="G338" t="s">
        <v>104</v>
      </c>
      <c r="H338" t="s">
        <v>29</v>
      </c>
      <c r="I338">
        <v>6940</v>
      </c>
      <c r="J338">
        <v>4</v>
      </c>
      <c r="K338">
        <v>4.0999999999999996</v>
      </c>
      <c r="L338">
        <v>3</v>
      </c>
      <c r="M338" t="s">
        <v>37</v>
      </c>
    </row>
    <row r="339" spans="1:13" x14ac:dyDescent="0.3">
      <c r="A339" t="s">
        <v>651</v>
      </c>
      <c r="B339" t="s">
        <v>652</v>
      </c>
      <c r="C339" t="s">
        <v>58</v>
      </c>
      <c r="D339" t="s">
        <v>90</v>
      </c>
      <c r="E339" t="s">
        <v>42</v>
      </c>
      <c r="F339" t="s">
        <v>60</v>
      </c>
      <c r="G339" t="s">
        <v>104</v>
      </c>
      <c r="H339" t="s">
        <v>29</v>
      </c>
      <c r="I339">
        <v>25585</v>
      </c>
      <c r="J339">
        <v>5</v>
      </c>
      <c r="K339">
        <v>4.3</v>
      </c>
      <c r="L339">
        <v>8</v>
      </c>
      <c r="M339" t="s">
        <v>30</v>
      </c>
    </row>
    <row r="340" spans="1:13" x14ac:dyDescent="0.3">
      <c r="A340" t="s">
        <v>653</v>
      </c>
      <c r="B340" t="s">
        <v>561</v>
      </c>
      <c r="C340" t="s">
        <v>112</v>
      </c>
      <c r="D340" t="s">
        <v>159</v>
      </c>
      <c r="E340" t="s">
        <v>42</v>
      </c>
      <c r="F340" t="s">
        <v>83</v>
      </c>
      <c r="G340" t="s">
        <v>104</v>
      </c>
      <c r="H340" t="s">
        <v>29</v>
      </c>
      <c r="I340">
        <v>22624</v>
      </c>
      <c r="J340">
        <v>8</v>
      </c>
      <c r="K340">
        <v>3.7</v>
      </c>
      <c r="L340">
        <v>1</v>
      </c>
      <c r="M340" t="s">
        <v>87</v>
      </c>
    </row>
    <row r="341" spans="1:13" x14ac:dyDescent="0.3">
      <c r="A341" t="s">
        <v>654</v>
      </c>
      <c r="B341" t="s">
        <v>523</v>
      </c>
      <c r="C341" t="s">
        <v>78</v>
      </c>
      <c r="D341" t="s">
        <v>41</v>
      </c>
      <c r="E341" t="s">
        <v>42</v>
      </c>
      <c r="F341" t="s">
        <v>53</v>
      </c>
      <c r="G341" t="s">
        <v>19</v>
      </c>
      <c r="H341" t="s">
        <v>64</v>
      </c>
      <c r="I341">
        <v>33808</v>
      </c>
      <c r="J341">
        <v>8</v>
      </c>
      <c r="K341">
        <v>4.3</v>
      </c>
      <c r="L341">
        <v>1</v>
      </c>
      <c r="M341" t="s">
        <v>119</v>
      </c>
    </row>
    <row r="342" spans="1:13" x14ac:dyDescent="0.3">
      <c r="A342" t="s">
        <v>655</v>
      </c>
      <c r="B342" t="s">
        <v>656</v>
      </c>
      <c r="C342" t="s">
        <v>112</v>
      </c>
      <c r="D342" t="s">
        <v>69</v>
      </c>
      <c r="E342" t="s">
        <v>26</v>
      </c>
      <c r="F342" t="s">
        <v>100</v>
      </c>
      <c r="G342" t="s">
        <v>104</v>
      </c>
      <c r="H342" t="s">
        <v>29</v>
      </c>
      <c r="I342">
        <v>20432</v>
      </c>
      <c r="J342">
        <v>4</v>
      </c>
      <c r="K342">
        <v>3.3</v>
      </c>
      <c r="L342">
        <v>4</v>
      </c>
      <c r="M342" t="s">
        <v>55</v>
      </c>
    </row>
    <row r="343" spans="1:13" x14ac:dyDescent="0.3">
      <c r="A343" t="s">
        <v>657</v>
      </c>
      <c r="B343" t="s">
        <v>201</v>
      </c>
      <c r="C343" t="s">
        <v>103</v>
      </c>
      <c r="D343" t="s">
        <v>59</v>
      </c>
      <c r="E343" t="s">
        <v>26</v>
      </c>
      <c r="F343" t="s">
        <v>27</v>
      </c>
      <c r="G343" t="s">
        <v>28</v>
      </c>
      <c r="H343" t="s">
        <v>20</v>
      </c>
      <c r="I343">
        <v>10432</v>
      </c>
      <c r="J343">
        <v>4</v>
      </c>
      <c r="K343">
        <v>4.3</v>
      </c>
      <c r="L343">
        <v>8</v>
      </c>
      <c r="M343" t="s">
        <v>55</v>
      </c>
    </row>
    <row r="344" spans="1:13" x14ac:dyDescent="0.3">
      <c r="A344" t="s">
        <v>658</v>
      </c>
      <c r="B344" t="s">
        <v>536</v>
      </c>
      <c r="C344" t="s">
        <v>15</v>
      </c>
      <c r="D344" t="s">
        <v>113</v>
      </c>
      <c r="E344" t="s">
        <v>35</v>
      </c>
      <c r="F344" t="s">
        <v>83</v>
      </c>
      <c r="G344" t="s">
        <v>54</v>
      </c>
      <c r="H344" t="s">
        <v>20</v>
      </c>
      <c r="I344">
        <v>26871</v>
      </c>
      <c r="J344">
        <v>1</v>
      </c>
      <c r="K344">
        <v>3.7</v>
      </c>
      <c r="L344">
        <v>8</v>
      </c>
      <c r="M344" t="s">
        <v>80</v>
      </c>
    </row>
    <row r="345" spans="1:13" x14ac:dyDescent="0.3">
      <c r="A345" t="s">
        <v>659</v>
      </c>
      <c r="B345" t="s">
        <v>660</v>
      </c>
      <c r="C345" t="s">
        <v>170</v>
      </c>
      <c r="D345" t="s">
        <v>116</v>
      </c>
      <c r="E345" t="s">
        <v>17</v>
      </c>
      <c r="F345" t="s">
        <v>18</v>
      </c>
      <c r="G345" t="s">
        <v>19</v>
      </c>
      <c r="H345" t="s">
        <v>36</v>
      </c>
      <c r="I345">
        <v>6960</v>
      </c>
      <c r="J345">
        <v>6</v>
      </c>
      <c r="K345">
        <v>4.5</v>
      </c>
      <c r="L345">
        <v>1</v>
      </c>
      <c r="M345" t="s">
        <v>37</v>
      </c>
    </row>
    <row r="346" spans="1:13" x14ac:dyDescent="0.3">
      <c r="A346" t="s">
        <v>661</v>
      </c>
      <c r="B346" t="s">
        <v>589</v>
      </c>
      <c r="C346" t="s">
        <v>50</v>
      </c>
      <c r="D346" t="s">
        <v>97</v>
      </c>
      <c r="E346" t="s">
        <v>35</v>
      </c>
      <c r="F346" t="s">
        <v>60</v>
      </c>
      <c r="G346" t="s">
        <v>19</v>
      </c>
      <c r="H346" t="s">
        <v>36</v>
      </c>
      <c r="I346">
        <v>282224</v>
      </c>
      <c r="J346">
        <v>8</v>
      </c>
      <c r="K346">
        <v>3.4</v>
      </c>
      <c r="L346">
        <v>4</v>
      </c>
      <c r="M346" t="s">
        <v>87</v>
      </c>
    </row>
    <row r="347" spans="1:13" x14ac:dyDescent="0.3">
      <c r="A347" t="s">
        <v>662</v>
      </c>
      <c r="B347" t="s">
        <v>663</v>
      </c>
      <c r="C347" t="s">
        <v>78</v>
      </c>
      <c r="D347" t="s">
        <v>51</v>
      </c>
      <c r="E347" t="s">
        <v>52</v>
      </c>
      <c r="F347" t="s">
        <v>100</v>
      </c>
      <c r="G347" t="s">
        <v>54</v>
      </c>
      <c r="H347" t="s">
        <v>29</v>
      </c>
      <c r="I347">
        <v>7372</v>
      </c>
      <c r="J347">
        <v>4</v>
      </c>
      <c r="K347">
        <v>4.3</v>
      </c>
      <c r="L347">
        <v>1</v>
      </c>
      <c r="M347" t="s">
        <v>87</v>
      </c>
    </row>
    <row r="348" spans="1:13" x14ac:dyDescent="0.3">
      <c r="A348" t="s">
        <v>664</v>
      </c>
      <c r="B348" t="s">
        <v>597</v>
      </c>
      <c r="C348" t="s">
        <v>24</v>
      </c>
      <c r="D348" t="s">
        <v>46</v>
      </c>
      <c r="E348" t="s">
        <v>42</v>
      </c>
      <c r="F348" t="s">
        <v>53</v>
      </c>
      <c r="G348" t="s">
        <v>54</v>
      </c>
      <c r="H348" t="s">
        <v>64</v>
      </c>
      <c r="I348">
        <v>15798</v>
      </c>
      <c r="J348">
        <v>6</v>
      </c>
      <c r="K348">
        <v>4</v>
      </c>
      <c r="L348">
        <v>1</v>
      </c>
      <c r="M348" t="s">
        <v>37</v>
      </c>
    </row>
    <row r="349" spans="1:13" x14ac:dyDescent="0.3">
      <c r="A349" t="s">
        <v>665</v>
      </c>
      <c r="B349" t="s">
        <v>666</v>
      </c>
      <c r="C349" t="s">
        <v>45</v>
      </c>
      <c r="D349" t="s">
        <v>147</v>
      </c>
      <c r="E349" t="s">
        <v>52</v>
      </c>
      <c r="F349" t="s">
        <v>53</v>
      </c>
      <c r="G349" t="s">
        <v>54</v>
      </c>
      <c r="H349" t="s">
        <v>36</v>
      </c>
      <c r="I349">
        <v>7072</v>
      </c>
      <c r="J349">
        <v>8</v>
      </c>
      <c r="K349">
        <v>3.5</v>
      </c>
      <c r="L349">
        <v>2</v>
      </c>
      <c r="M349" t="s">
        <v>144</v>
      </c>
    </row>
    <row r="350" spans="1:13" x14ac:dyDescent="0.3">
      <c r="A350" t="s">
        <v>667</v>
      </c>
      <c r="B350" t="s">
        <v>668</v>
      </c>
      <c r="C350" t="s">
        <v>146</v>
      </c>
      <c r="D350" t="s">
        <v>34</v>
      </c>
      <c r="E350" t="s">
        <v>35</v>
      </c>
      <c r="F350" t="s">
        <v>27</v>
      </c>
      <c r="G350" t="s">
        <v>19</v>
      </c>
      <c r="H350" t="s">
        <v>36</v>
      </c>
      <c r="I350">
        <v>65994</v>
      </c>
      <c r="J350">
        <v>2</v>
      </c>
      <c r="K350">
        <v>4.5999999999999996</v>
      </c>
      <c r="L350">
        <v>6</v>
      </c>
      <c r="M350" t="s">
        <v>119</v>
      </c>
    </row>
    <row r="351" spans="1:13" x14ac:dyDescent="0.3">
      <c r="A351" t="s">
        <v>669</v>
      </c>
      <c r="B351" t="s">
        <v>670</v>
      </c>
      <c r="C351" t="s">
        <v>179</v>
      </c>
      <c r="D351" t="s">
        <v>46</v>
      </c>
      <c r="E351" t="s">
        <v>42</v>
      </c>
      <c r="F351" t="s">
        <v>100</v>
      </c>
      <c r="G351" t="s">
        <v>19</v>
      </c>
      <c r="H351" t="s">
        <v>29</v>
      </c>
      <c r="I351">
        <v>26395</v>
      </c>
      <c r="J351">
        <v>5</v>
      </c>
      <c r="K351">
        <v>4.2</v>
      </c>
      <c r="L351">
        <v>8</v>
      </c>
      <c r="M351" t="s">
        <v>80</v>
      </c>
    </row>
    <row r="352" spans="1:13" x14ac:dyDescent="0.3">
      <c r="A352" t="s">
        <v>671</v>
      </c>
      <c r="B352" t="s">
        <v>14</v>
      </c>
      <c r="C352" t="s">
        <v>146</v>
      </c>
      <c r="D352" t="s">
        <v>97</v>
      </c>
      <c r="E352" t="s">
        <v>35</v>
      </c>
      <c r="F352" t="s">
        <v>18</v>
      </c>
      <c r="G352" t="s">
        <v>28</v>
      </c>
      <c r="H352" t="s">
        <v>20</v>
      </c>
      <c r="I352">
        <v>68457</v>
      </c>
      <c r="J352">
        <v>3</v>
      </c>
      <c r="K352">
        <v>4.7</v>
      </c>
      <c r="L352">
        <v>6</v>
      </c>
      <c r="M352" t="s">
        <v>21</v>
      </c>
    </row>
    <row r="353" spans="1:13" x14ac:dyDescent="0.3">
      <c r="A353" t="s">
        <v>672</v>
      </c>
      <c r="B353" t="s">
        <v>673</v>
      </c>
      <c r="C353" t="s">
        <v>78</v>
      </c>
      <c r="D353" t="s">
        <v>218</v>
      </c>
      <c r="E353" t="s">
        <v>17</v>
      </c>
      <c r="F353" t="s">
        <v>83</v>
      </c>
      <c r="G353" t="s">
        <v>104</v>
      </c>
      <c r="H353" t="s">
        <v>29</v>
      </c>
      <c r="I353">
        <v>3824</v>
      </c>
      <c r="J353">
        <v>4</v>
      </c>
      <c r="K353">
        <v>4.0999999999999996</v>
      </c>
      <c r="L353">
        <v>8</v>
      </c>
      <c r="M353" t="s">
        <v>192</v>
      </c>
    </row>
    <row r="354" spans="1:13" x14ac:dyDescent="0.3">
      <c r="A354" t="s">
        <v>674</v>
      </c>
      <c r="B354" t="s">
        <v>675</v>
      </c>
      <c r="C354" t="s">
        <v>68</v>
      </c>
      <c r="D354" t="s">
        <v>46</v>
      </c>
      <c r="E354" t="s">
        <v>42</v>
      </c>
      <c r="F354" t="s">
        <v>60</v>
      </c>
      <c r="G354" t="s">
        <v>19</v>
      </c>
      <c r="H354" t="s">
        <v>36</v>
      </c>
      <c r="I354">
        <v>3526</v>
      </c>
      <c r="J354">
        <v>2</v>
      </c>
      <c r="K354">
        <v>4.8</v>
      </c>
      <c r="L354">
        <v>4</v>
      </c>
      <c r="M354" t="s">
        <v>87</v>
      </c>
    </row>
    <row r="355" spans="1:13" x14ac:dyDescent="0.3">
      <c r="A355" t="s">
        <v>676</v>
      </c>
      <c r="B355" t="s">
        <v>275</v>
      </c>
      <c r="C355" t="s">
        <v>15</v>
      </c>
      <c r="D355" t="s">
        <v>116</v>
      </c>
      <c r="E355" t="s">
        <v>17</v>
      </c>
      <c r="F355" t="s">
        <v>83</v>
      </c>
      <c r="G355" t="s">
        <v>28</v>
      </c>
      <c r="H355" t="s">
        <v>36</v>
      </c>
      <c r="I355">
        <v>11008</v>
      </c>
      <c r="J355">
        <v>8</v>
      </c>
      <c r="K355">
        <v>4.3</v>
      </c>
      <c r="L355">
        <v>2</v>
      </c>
      <c r="M355" t="s">
        <v>119</v>
      </c>
    </row>
    <row r="356" spans="1:13" x14ac:dyDescent="0.3">
      <c r="A356" t="s">
        <v>677</v>
      </c>
      <c r="B356" t="s">
        <v>379</v>
      </c>
      <c r="C356" t="s">
        <v>40</v>
      </c>
      <c r="D356" t="s">
        <v>41</v>
      </c>
      <c r="E356" t="s">
        <v>42</v>
      </c>
      <c r="F356" t="s">
        <v>18</v>
      </c>
      <c r="G356" t="s">
        <v>19</v>
      </c>
      <c r="H356" t="s">
        <v>36</v>
      </c>
      <c r="I356">
        <v>20139</v>
      </c>
      <c r="J356">
        <v>7</v>
      </c>
      <c r="K356">
        <v>3.3</v>
      </c>
      <c r="L356">
        <v>2</v>
      </c>
      <c r="M356" t="s">
        <v>55</v>
      </c>
    </row>
    <row r="357" spans="1:13" x14ac:dyDescent="0.3">
      <c r="A357" t="s">
        <v>678</v>
      </c>
      <c r="B357" t="s">
        <v>387</v>
      </c>
      <c r="C357" t="s">
        <v>78</v>
      </c>
      <c r="D357" t="s">
        <v>86</v>
      </c>
      <c r="E357" t="s">
        <v>17</v>
      </c>
      <c r="F357" t="s">
        <v>27</v>
      </c>
      <c r="G357" t="s">
        <v>28</v>
      </c>
      <c r="H357" t="s">
        <v>36</v>
      </c>
      <c r="I357">
        <v>4816</v>
      </c>
      <c r="J357">
        <v>7</v>
      </c>
      <c r="K357">
        <v>4.3</v>
      </c>
      <c r="L357">
        <v>3</v>
      </c>
      <c r="M357" t="s">
        <v>65</v>
      </c>
    </row>
    <row r="358" spans="1:13" x14ac:dyDescent="0.3">
      <c r="A358" t="s">
        <v>679</v>
      </c>
      <c r="B358" t="s">
        <v>141</v>
      </c>
      <c r="C358" t="s">
        <v>24</v>
      </c>
      <c r="D358" t="s">
        <v>59</v>
      </c>
      <c r="E358" t="s">
        <v>26</v>
      </c>
      <c r="F358" t="s">
        <v>100</v>
      </c>
      <c r="G358" t="s">
        <v>28</v>
      </c>
      <c r="H358" t="s">
        <v>29</v>
      </c>
      <c r="I358">
        <v>30040</v>
      </c>
      <c r="J358">
        <v>8</v>
      </c>
      <c r="K358">
        <v>4.2</v>
      </c>
      <c r="L358">
        <v>6</v>
      </c>
      <c r="M358" t="s">
        <v>119</v>
      </c>
    </row>
    <row r="359" spans="1:13" x14ac:dyDescent="0.3">
      <c r="A359" t="s">
        <v>680</v>
      </c>
      <c r="B359" t="s">
        <v>681</v>
      </c>
      <c r="C359" t="s">
        <v>50</v>
      </c>
      <c r="D359" t="s">
        <v>165</v>
      </c>
      <c r="E359" t="s">
        <v>35</v>
      </c>
      <c r="F359" t="s">
        <v>100</v>
      </c>
      <c r="G359" t="s">
        <v>104</v>
      </c>
      <c r="H359" t="s">
        <v>29</v>
      </c>
      <c r="I359">
        <v>269370</v>
      </c>
      <c r="J359">
        <v>6</v>
      </c>
      <c r="K359">
        <v>4.2</v>
      </c>
      <c r="L359">
        <v>4</v>
      </c>
      <c r="M359" t="s">
        <v>126</v>
      </c>
    </row>
    <row r="360" spans="1:13" x14ac:dyDescent="0.3">
      <c r="A360" t="s">
        <v>682</v>
      </c>
      <c r="B360" t="s">
        <v>300</v>
      </c>
      <c r="C360" t="s">
        <v>15</v>
      </c>
      <c r="D360" t="s">
        <v>90</v>
      </c>
      <c r="E360" t="s">
        <v>42</v>
      </c>
      <c r="F360" t="s">
        <v>53</v>
      </c>
      <c r="G360" t="s">
        <v>19</v>
      </c>
      <c r="H360" t="s">
        <v>20</v>
      </c>
      <c r="I360">
        <v>5580</v>
      </c>
      <c r="J360">
        <v>1</v>
      </c>
      <c r="K360">
        <v>4.0999999999999996</v>
      </c>
      <c r="L360">
        <v>5</v>
      </c>
      <c r="M360" t="s">
        <v>55</v>
      </c>
    </row>
    <row r="361" spans="1:13" x14ac:dyDescent="0.3">
      <c r="A361" t="s">
        <v>683</v>
      </c>
      <c r="B361" t="s">
        <v>118</v>
      </c>
      <c r="C361" t="s">
        <v>146</v>
      </c>
      <c r="D361" t="s">
        <v>113</v>
      </c>
      <c r="E361" t="s">
        <v>35</v>
      </c>
      <c r="F361" t="s">
        <v>53</v>
      </c>
      <c r="G361" t="s">
        <v>19</v>
      </c>
      <c r="H361" t="s">
        <v>20</v>
      </c>
      <c r="I361">
        <v>377090</v>
      </c>
      <c r="J361">
        <v>5</v>
      </c>
      <c r="K361">
        <v>3.5</v>
      </c>
      <c r="L361">
        <v>1</v>
      </c>
      <c r="M361" t="s">
        <v>119</v>
      </c>
    </row>
    <row r="362" spans="1:13" x14ac:dyDescent="0.3">
      <c r="A362" t="s">
        <v>684</v>
      </c>
      <c r="B362" t="s">
        <v>413</v>
      </c>
      <c r="C362" t="s">
        <v>75</v>
      </c>
      <c r="D362" t="s">
        <v>130</v>
      </c>
      <c r="E362" t="s">
        <v>35</v>
      </c>
      <c r="F362" t="s">
        <v>27</v>
      </c>
      <c r="G362" t="s">
        <v>104</v>
      </c>
      <c r="H362" t="s">
        <v>64</v>
      </c>
      <c r="I362">
        <v>167444</v>
      </c>
      <c r="J362">
        <v>4</v>
      </c>
      <c r="K362">
        <v>3.9</v>
      </c>
      <c r="L362">
        <v>4</v>
      </c>
      <c r="M362" t="s">
        <v>30</v>
      </c>
    </row>
    <row r="363" spans="1:13" x14ac:dyDescent="0.3">
      <c r="A363" t="s">
        <v>685</v>
      </c>
      <c r="B363" t="s">
        <v>118</v>
      </c>
      <c r="C363" t="s">
        <v>170</v>
      </c>
      <c r="D363" t="s">
        <v>51</v>
      </c>
      <c r="E363" t="s">
        <v>52</v>
      </c>
      <c r="F363" t="s">
        <v>53</v>
      </c>
      <c r="G363" t="s">
        <v>28</v>
      </c>
      <c r="H363" t="s">
        <v>64</v>
      </c>
      <c r="I363">
        <v>2960</v>
      </c>
      <c r="J363">
        <v>2</v>
      </c>
      <c r="K363">
        <v>3.3</v>
      </c>
      <c r="L363">
        <v>1</v>
      </c>
      <c r="M363" t="s">
        <v>119</v>
      </c>
    </row>
    <row r="364" spans="1:13" x14ac:dyDescent="0.3">
      <c r="A364" t="s">
        <v>686</v>
      </c>
      <c r="B364" t="s">
        <v>687</v>
      </c>
      <c r="C364" t="s">
        <v>170</v>
      </c>
      <c r="D364" t="s">
        <v>86</v>
      </c>
      <c r="E364" t="s">
        <v>17</v>
      </c>
      <c r="F364" t="s">
        <v>100</v>
      </c>
      <c r="G364" t="s">
        <v>19</v>
      </c>
      <c r="H364" t="s">
        <v>20</v>
      </c>
      <c r="I364">
        <v>1598</v>
      </c>
      <c r="J364">
        <v>1</v>
      </c>
      <c r="K364">
        <v>3.3</v>
      </c>
      <c r="L364">
        <v>3</v>
      </c>
      <c r="M364" t="s">
        <v>119</v>
      </c>
    </row>
    <row r="365" spans="1:13" x14ac:dyDescent="0.3">
      <c r="A365" t="s">
        <v>688</v>
      </c>
      <c r="B365" t="s">
        <v>306</v>
      </c>
      <c r="C365" t="s">
        <v>125</v>
      </c>
      <c r="D365" t="s">
        <v>116</v>
      </c>
      <c r="E365" t="s">
        <v>17</v>
      </c>
      <c r="F365" t="s">
        <v>100</v>
      </c>
      <c r="G365" t="s">
        <v>54</v>
      </c>
      <c r="H365" t="s">
        <v>64</v>
      </c>
      <c r="I365">
        <v>1508</v>
      </c>
      <c r="J365">
        <v>2</v>
      </c>
      <c r="K365">
        <v>3.4</v>
      </c>
      <c r="L365">
        <v>2</v>
      </c>
      <c r="M365" t="s">
        <v>47</v>
      </c>
    </row>
    <row r="366" spans="1:13" x14ac:dyDescent="0.3">
      <c r="A366" t="s">
        <v>689</v>
      </c>
      <c r="B366" t="s">
        <v>690</v>
      </c>
      <c r="C366" t="s">
        <v>58</v>
      </c>
      <c r="D366" t="s">
        <v>113</v>
      </c>
      <c r="E366" t="s">
        <v>35</v>
      </c>
      <c r="F366" t="s">
        <v>83</v>
      </c>
      <c r="G366" t="s">
        <v>19</v>
      </c>
      <c r="H366" t="s">
        <v>20</v>
      </c>
      <c r="I366">
        <v>141239</v>
      </c>
      <c r="J366">
        <v>7</v>
      </c>
      <c r="K366">
        <v>3.6</v>
      </c>
      <c r="L366">
        <v>7</v>
      </c>
      <c r="M366" t="s">
        <v>55</v>
      </c>
    </row>
    <row r="367" spans="1:13" x14ac:dyDescent="0.3">
      <c r="A367" t="s">
        <v>691</v>
      </c>
      <c r="B367" t="s">
        <v>692</v>
      </c>
      <c r="C367" t="s">
        <v>170</v>
      </c>
      <c r="D367" t="s">
        <v>218</v>
      </c>
      <c r="E367" t="s">
        <v>17</v>
      </c>
      <c r="F367" t="s">
        <v>53</v>
      </c>
      <c r="G367" t="s">
        <v>54</v>
      </c>
      <c r="H367" t="s">
        <v>29</v>
      </c>
      <c r="I367">
        <v>10212</v>
      </c>
      <c r="J367">
        <v>6</v>
      </c>
      <c r="K367">
        <v>3.9</v>
      </c>
      <c r="L367">
        <v>4</v>
      </c>
      <c r="M367" t="s">
        <v>47</v>
      </c>
    </row>
    <row r="368" spans="1:13" x14ac:dyDescent="0.3">
      <c r="A368" t="s">
        <v>693</v>
      </c>
      <c r="B368" t="s">
        <v>595</v>
      </c>
      <c r="C368" t="s">
        <v>72</v>
      </c>
      <c r="D368" t="s">
        <v>109</v>
      </c>
      <c r="E368" t="s">
        <v>52</v>
      </c>
      <c r="F368" t="s">
        <v>27</v>
      </c>
      <c r="G368" t="s">
        <v>54</v>
      </c>
      <c r="H368" t="s">
        <v>36</v>
      </c>
      <c r="I368">
        <v>6776</v>
      </c>
      <c r="J368">
        <v>8</v>
      </c>
      <c r="K368">
        <v>3.6</v>
      </c>
      <c r="L368">
        <v>6</v>
      </c>
      <c r="M368" t="s">
        <v>192</v>
      </c>
    </row>
    <row r="369" spans="1:13" x14ac:dyDescent="0.3">
      <c r="A369" t="s">
        <v>694</v>
      </c>
      <c r="B369" t="s">
        <v>673</v>
      </c>
      <c r="C369" t="s">
        <v>170</v>
      </c>
      <c r="D369" t="s">
        <v>86</v>
      </c>
      <c r="E369" t="s">
        <v>17</v>
      </c>
      <c r="F369" t="s">
        <v>83</v>
      </c>
      <c r="G369" t="s">
        <v>19</v>
      </c>
      <c r="H369" t="s">
        <v>20</v>
      </c>
      <c r="I369">
        <v>2667</v>
      </c>
      <c r="J369">
        <v>3</v>
      </c>
      <c r="K369">
        <v>4</v>
      </c>
      <c r="L369">
        <v>1</v>
      </c>
      <c r="M369" t="s">
        <v>192</v>
      </c>
    </row>
    <row r="370" spans="1:13" x14ac:dyDescent="0.3">
      <c r="A370" t="s">
        <v>695</v>
      </c>
      <c r="B370" t="s">
        <v>149</v>
      </c>
      <c r="C370" t="s">
        <v>103</v>
      </c>
      <c r="D370" t="s">
        <v>59</v>
      </c>
      <c r="E370" t="s">
        <v>26</v>
      </c>
      <c r="F370" t="s">
        <v>83</v>
      </c>
      <c r="G370" t="s">
        <v>54</v>
      </c>
      <c r="H370" t="s">
        <v>29</v>
      </c>
      <c r="I370">
        <v>82808</v>
      </c>
      <c r="J370">
        <v>8</v>
      </c>
      <c r="K370">
        <v>4.8</v>
      </c>
      <c r="L370">
        <v>1</v>
      </c>
      <c r="M370" t="s">
        <v>30</v>
      </c>
    </row>
    <row r="371" spans="1:13" x14ac:dyDescent="0.3">
      <c r="A371" t="s">
        <v>696</v>
      </c>
      <c r="B371" t="s">
        <v>697</v>
      </c>
      <c r="C371" t="s">
        <v>68</v>
      </c>
      <c r="D371" t="s">
        <v>109</v>
      </c>
      <c r="E371" t="s">
        <v>52</v>
      </c>
      <c r="F371" t="s">
        <v>18</v>
      </c>
      <c r="G371" t="s">
        <v>104</v>
      </c>
      <c r="H371" t="s">
        <v>64</v>
      </c>
      <c r="I371">
        <v>2272</v>
      </c>
      <c r="J371">
        <v>8</v>
      </c>
      <c r="K371">
        <v>3.7</v>
      </c>
      <c r="L371">
        <v>6</v>
      </c>
      <c r="M371" t="s">
        <v>144</v>
      </c>
    </row>
    <row r="372" spans="1:13" x14ac:dyDescent="0.3">
      <c r="A372" t="s">
        <v>698</v>
      </c>
      <c r="B372" t="s">
        <v>62</v>
      </c>
      <c r="C372" t="s">
        <v>78</v>
      </c>
      <c r="D372" t="s">
        <v>51</v>
      </c>
      <c r="E372" t="s">
        <v>52</v>
      </c>
      <c r="F372" t="s">
        <v>27</v>
      </c>
      <c r="G372" t="s">
        <v>54</v>
      </c>
      <c r="H372" t="s">
        <v>36</v>
      </c>
      <c r="I372">
        <v>4470</v>
      </c>
      <c r="J372">
        <v>2</v>
      </c>
      <c r="K372">
        <v>3.5</v>
      </c>
      <c r="L372">
        <v>8</v>
      </c>
      <c r="M372" t="s">
        <v>65</v>
      </c>
    </row>
    <row r="373" spans="1:13" x14ac:dyDescent="0.3">
      <c r="A373" t="s">
        <v>699</v>
      </c>
      <c r="B373" t="s">
        <v>124</v>
      </c>
      <c r="C373" t="s">
        <v>122</v>
      </c>
      <c r="D373" t="s">
        <v>109</v>
      </c>
      <c r="E373" t="s">
        <v>52</v>
      </c>
      <c r="F373" t="s">
        <v>100</v>
      </c>
      <c r="G373" t="s">
        <v>104</v>
      </c>
      <c r="H373" t="s">
        <v>36</v>
      </c>
      <c r="I373">
        <v>7144</v>
      </c>
      <c r="J373">
        <v>8</v>
      </c>
      <c r="K373">
        <v>3.8</v>
      </c>
      <c r="L373">
        <v>5</v>
      </c>
      <c r="M373" t="s">
        <v>126</v>
      </c>
    </row>
    <row r="374" spans="1:13" x14ac:dyDescent="0.3">
      <c r="A374" t="s">
        <v>700</v>
      </c>
      <c r="B374" t="s">
        <v>308</v>
      </c>
      <c r="C374" t="s">
        <v>112</v>
      </c>
      <c r="D374" t="s">
        <v>97</v>
      </c>
      <c r="E374" t="s">
        <v>35</v>
      </c>
      <c r="F374" t="s">
        <v>27</v>
      </c>
      <c r="G374" t="s">
        <v>19</v>
      </c>
      <c r="H374" t="s">
        <v>64</v>
      </c>
      <c r="I374">
        <v>236490</v>
      </c>
      <c r="J374">
        <v>5</v>
      </c>
      <c r="K374">
        <v>3.4</v>
      </c>
      <c r="L374">
        <v>7</v>
      </c>
      <c r="M374" t="s">
        <v>144</v>
      </c>
    </row>
    <row r="375" spans="1:13" x14ac:dyDescent="0.3">
      <c r="A375" t="s">
        <v>701</v>
      </c>
      <c r="B375" t="s">
        <v>702</v>
      </c>
      <c r="C375" t="s">
        <v>58</v>
      </c>
      <c r="D375" t="s">
        <v>63</v>
      </c>
      <c r="E375" t="s">
        <v>52</v>
      </c>
      <c r="F375" t="s">
        <v>100</v>
      </c>
      <c r="G375" t="s">
        <v>19</v>
      </c>
      <c r="H375" t="s">
        <v>20</v>
      </c>
      <c r="I375">
        <v>7990</v>
      </c>
      <c r="J375">
        <v>5</v>
      </c>
      <c r="K375">
        <v>3.6</v>
      </c>
      <c r="L375">
        <v>3</v>
      </c>
      <c r="M375" t="s">
        <v>47</v>
      </c>
    </row>
    <row r="376" spans="1:13" x14ac:dyDescent="0.3">
      <c r="A376" t="s">
        <v>703</v>
      </c>
      <c r="B376" t="s">
        <v>363</v>
      </c>
      <c r="C376" t="s">
        <v>24</v>
      </c>
      <c r="D376" t="s">
        <v>165</v>
      </c>
      <c r="E376" t="s">
        <v>35</v>
      </c>
      <c r="F376" t="s">
        <v>53</v>
      </c>
      <c r="G376" t="s">
        <v>19</v>
      </c>
      <c r="H376" t="s">
        <v>36</v>
      </c>
      <c r="I376">
        <v>308798</v>
      </c>
      <c r="J376">
        <v>7</v>
      </c>
      <c r="K376">
        <v>4.2</v>
      </c>
      <c r="L376">
        <v>2</v>
      </c>
      <c r="M376" t="s">
        <v>80</v>
      </c>
    </row>
    <row r="377" spans="1:13" x14ac:dyDescent="0.3">
      <c r="A377" t="s">
        <v>704</v>
      </c>
      <c r="B377" t="s">
        <v>705</v>
      </c>
      <c r="C377" t="s">
        <v>45</v>
      </c>
      <c r="D377" t="s">
        <v>97</v>
      </c>
      <c r="E377" t="s">
        <v>35</v>
      </c>
      <c r="F377" t="s">
        <v>100</v>
      </c>
      <c r="G377" t="s">
        <v>104</v>
      </c>
      <c r="H377" t="s">
        <v>20</v>
      </c>
      <c r="I377">
        <v>112085</v>
      </c>
      <c r="J377">
        <v>5</v>
      </c>
      <c r="K377">
        <v>3.4</v>
      </c>
      <c r="L377">
        <v>1</v>
      </c>
      <c r="M377" t="s">
        <v>55</v>
      </c>
    </row>
    <row r="378" spans="1:13" x14ac:dyDescent="0.3">
      <c r="A378" t="s">
        <v>706</v>
      </c>
      <c r="B378" t="s">
        <v>178</v>
      </c>
      <c r="C378" t="s">
        <v>129</v>
      </c>
      <c r="D378" t="s">
        <v>79</v>
      </c>
      <c r="E378" t="s">
        <v>26</v>
      </c>
      <c r="F378" t="s">
        <v>83</v>
      </c>
      <c r="G378" t="s">
        <v>28</v>
      </c>
      <c r="H378" t="s">
        <v>64</v>
      </c>
      <c r="I378">
        <v>9030</v>
      </c>
      <c r="J378">
        <v>1</v>
      </c>
      <c r="K378">
        <v>4.7</v>
      </c>
      <c r="L378">
        <v>8</v>
      </c>
      <c r="M378" t="s">
        <v>37</v>
      </c>
    </row>
    <row r="379" spans="1:13" x14ac:dyDescent="0.3">
      <c r="A379" t="s">
        <v>707</v>
      </c>
      <c r="B379" t="s">
        <v>708</v>
      </c>
      <c r="C379" t="s">
        <v>179</v>
      </c>
      <c r="D379" t="s">
        <v>159</v>
      </c>
      <c r="E379" t="s">
        <v>42</v>
      </c>
      <c r="F379" t="s">
        <v>83</v>
      </c>
      <c r="G379" t="s">
        <v>54</v>
      </c>
      <c r="H379" t="s">
        <v>20</v>
      </c>
      <c r="I379">
        <v>3288</v>
      </c>
      <c r="J379">
        <v>4</v>
      </c>
      <c r="K379">
        <v>4.9000000000000004</v>
      </c>
      <c r="L379">
        <v>4</v>
      </c>
      <c r="M379" t="s">
        <v>80</v>
      </c>
    </row>
    <row r="380" spans="1:13" x14ac:dyDescent="0.3">
      <c r="A380" t="s">
        <v>709</v>
      </c>
      <c r="B380" t="s">
        <v>523</v>
      </c>
      <c r="C380" t="s">
        <v>170</v>
      </c>
      <c r="D380" t="s">
        <v>90</v>
      </c>
      <c r="E380" t="s">
        <v>42</v>
      </c>
      <c r="F380" t="s">
        <v>60</v>
      </c>
      <c r="G380" t="s">
        <v>54</v>
      </c>
      <c r="H380" t="s">
        <v>36</v>
      </c>
      <c r="I380">
        <v>24096</v>
      </c>
      <c r="J380">
        <v>6</v>
      </c>
      <c r="K380">
        <v>4.3</v>
      </c>
      <c r="L380">
        <v>7</v>
      </c>
      <c r="M380" t="s">
        <v>119</v>
      </c>
    </row>
    <row r="381" spans="1:13" x14ac:dyDescent="0.3">
      <c r="A381" t="s">
        <v>710</v>
      </c>
      <c r="B381" t="s">
        <v>666</v>
      </c>
      <c r="C381" t="s">
        <v>179</v>
      </c>
      <c r="D381" t="s">
        <v>90</v>
      </c>
      <c r="E381" t="s">
        <v>42</v>
      </c>
      <c r="F381" t="s">
        <v>53</v>
      </c>
      <c r="G381" t="s">
        <v>28</v>
      </c>
      <c r="H381" t="s">
        <v>64</v>
      </c>
      <c r="I381">
        <v>4084</v>
      </c>
      <c r="J381">
        <v>4</v>
      </c>
      <c r="K381">
        <v>3.9</v>
      </c>
      <c r="L381">
        <v>1</v>
      </c>
      <c r="M381" t="s">
        <v>144</v>
      </c>
    </row>
    <row r="382" spans="1:13" x14ac:dyDescent="0.3">
      <c r="A382" t="s">
        <v>711</v>
      </c>
      <c r="B382" t="s">
        <v>158</v>
      </c>
      <c r="C382" t="s">
        <v>146</v>
      </c>
      <c r="D382" t="s">
        <v>130</v>
      </c>
      <c r="E382" t="s">
        <v>35</v>
      </c>
      <c r="F382" t="s">
        <v>18</v>
      </c>
      <c r="G382" t="s">
        <v>54</v>
      </c>
      <c r="H382" t="s">
        <v>20</v>
      </c>
      <c r="I382">
        <v>248592</v>
      </c>
      <c r="J382">
        <v>3</v>
      </c>
      <c r="K382">
        <v>4.8</v>
      </c>
      <c r="L382">
        <v>8</v>
      </c>
      <c r="M382" t="s">
        <v>47</v>
      </c>
    </row>
    <row r="383" spans="1:13" x14ac:dyDescent="0.3">
      <c r="A383" t="s">
        <v>712</v>
      </c>
      <c r="B383" t="s">
        <v>713</v>
      </c>
      <c r="C383" t="s">
        <v>146</v>
      </c>
      <c r="D383" t="s">
        <v>79</v>
      </c>
      <c r="E383" t="s">
        <v>26</v>
      </c>
      <c r="F383" t="s">
        <v>18</v>
      </c>
      <c r="G383" t="s">
        <v>104</v>
      </c>
      <c r="H383" t="s">
        <v>29</v>
      </c>
      <c r="I383">
        <v>57631</v>
      </c>
      <c r="J383">
        <v>7</v>
      </c>
      <c r="K383">
        <v>4.3</v>
      </c>
      <c r="L383">
        <v>4</v>
      </c>
      <c r="M383" t="s">
        <v>55</v>
      </c>
    </row>
    <row r="384" spans="1:13" x14ac:dyDescent="0.3">
      <c r="A384" t="s">
        <v>714</v>
      </c>
      <c r="B384" t="s">
        <v>359</v>
      </c>
      <c r="C384" t="s">
        <v>50</v>
      </c>
      <c r="D384" t="s">
        <v>147</v>
      </c>
      <c r="E384" t="s">
        <v>52</v>
      </c>
      <c r="F384" t="s">
        <v>100</v>
      </c>
      <c r="G384" t="s">
        <v>28</v>
      </c>
      <c r="H384" t="s">
        <v>36</v>
      </c>
      <c r="I384">
        <v>4180</v>
      </c>
      <c r="J384">
        <v>2</v>
      </c>
      <c r="K384">
        <v>4.5</v>
      </c>
      <c r="L384">
        <v>3</v>
      </c>
      <c r="M384" t="s">
        <v>87</v>
      </c>
    </row>
    <row r="385" spans="1:13" x14ac:dyDescent="0.3">
      <c r="A385" t="s">
        <v>715</v>
      </c>
      <c r="B385" t="s">
        <v>716</v>
      </c>
      <c r="C385" t="s">
        <v>40</v>
      </c>
      <c r="D385" t="s">
        <v>109</v>
      </c>
      <c r="E385" t="s">
        <v>52</v>
      </c>
      <c r="F385" t="s">
        <v>27</v>
      </c>
      <c r="G385" t="s">
        <v>19</v>
      </c>
      <c r="H385" t="s">
        <v>36</v>
      </c>
      <c r="I385">
        <v>2526</v>
      </c>
      <c r="J385">
        <v>3</v>
      </c>
      <c r="K385">
        <v>3.8</v>
      </c>
      <c r="L385">
        <v>8</v>
      </c>
      <c r="M385" t="s">
        <v>30</v>
      </c>
    </row>
    <row r="386" spans="1:13" x14ac:dyDescent="0.3">
      <c r="A386" t="s">
        <v>717</v>
      </c>
      <c r="B386" t="s">
        <v>361</v>
      </c>
      <c r="C386" t="s">
        <v>122</v>
      </c>
      <c r="D386" t="s">
        <v>63</v>
      </c>
      <c r="E386" t="s">
        <v>52</v>
      </c>
      <c r="F386" t="s">
        <v>83</v>
      </c>
      <c r="G386" t="s">
        <v>28</v>
      </c>
      <c r="H386" t="s">
        <v>64</v>
      </c>
      <c r="I386">
        <v>10640</v>
      </c>
      <c r="J386">
        <v>5</v>
      </c>
      <c r="K386">
        <v>4.7</v>
      </c>
      <c r="L386">
        <v>8</v>
      </c>
      <c r="M386" t="s">
        <v>144</v>
      </c>
    </row>
    <row r="387" spans="1:13" x14ac:dyDescent="0.3">
      <c r="A387" t="s">
        <v>718</v>
      </c>
      <c r="B387" t="s">
        <v>290</v>
      </c>
      <c r="C387" t="s">
        <v>33</v>
      </c>
      <c r="D387" t="s">
        <v>90</v>
      </c>
      <c r="E387" t="s">
        <v>42</v>
      </c>
      <c r="F387" t="s">
        <v>83</v>
      </c>
      <c r="G387" t="s">
        <v>19</v>
      </c>
      <c r="H387" t="s">
        <v>36</v>
      </c>
      <c r="I387">
        <v>5777</v>
      </c>
      <c r="J387">
        <v>1</v>
      </c>
      <c r="K387">
        <v>4.2</v>
      </c>
      <c r="L387">
        <v>4</v>
      </c>
      <c r="M387" t="s">
        <v>87</v>
      </c>
    </row>
    <row r="388" spans="1:13" x14ac:dyDescent="0.3">
      <c r="A388" t="s">
        <v>719</v>
      </c>
      <c r="B388" t="s">
        <v>404</v>
      </c>
      <c r="C388" t="s">
        <v>24</v>
      </c>
      <c r="D388" t="s">
        <v>113</v>
      </c>
      <c r="E388" t="s">
        <v>35</v>
      </c>
      <c r="F388" t="s">
        <v>27</v>
      </c>
      <c r="G388" t="s">
        <v>104</v>
      </c>
      <c r="H388" t="s">
        <v>20</v>
      </c>
      <c r="I388">
        <v>45899</v>
      </c>
      <c r="J388">
        <v>1</v>
      </c>
      <c r="K388">
        <v>3.4</v>
      </c>
      <c r="L388">
        <v>3</v>
      </c>
      <c r="M388" t="s">
        <v>80</v>
      </c>
    </row>
    <row r="389" spans="1:13" x14ac:dyDescent="0.3">
      <c r="A389" t="s">
        <v>720</v>
      </c>
      <c r="B389" t="s">
        <v>603</v>
      </c>
      <c r="C389" t="s">
        <v>40</v>
      </c>
      <c r="D389" t="s">
        <v>46</v>
      </c>
      <c r="E389" t="s">
        <v>42</v>
      </c>
      <c r="F389" t="s">
        <v>60</v>
      </c>
      <c r="G389" t="s">
        <v>19</v>
      </c>
      <c r="H389" t="s">
        <v>36</v>
      </c>
      <c r="I389">
        <v>7608</v>
      </c>
      <c r="J389">
        <v>2</v>
      </c>
      <c r="K389">
        <v>4.5999999999999996</v>
      </c>
      <c r="L389">
        <v>2</v>
      </c>
      <c r="M389" t="s">
        <v>144</v>
      </c>
    </row>
    <row r="390" spans="1:13" x14ac:dyDescent="0.3">
      <c r="A390" t="s">
        <v>721</v>
      </c>
      <c r="B390" t="s">
        <v>722</v>
      </c>
      <c r="C390" t="s">
        <v>125</v>
      </c>
      <c r="D390" t="s">
        <v>130</v>
      </c>
      <c r="E390" t="s">
        <v>35</v>
      </c>
      <c r="F390" t="s">
        <v>27</v>
      </c>
      <c r="G390" t="s">
        <v>104</v>
      </c>
      <c r="H390" t="s">
        <v>64</v>
      </c>
      <c r="I390">
        <v>209300</v>
      </c>
      <c r="J390">
        <v>7</v>
      </c>
      <c r="K390">
        <v>3.4</v>
      </c>
      <c r="L390">
        <v>2</v>
      </c>
      <c r="M390" t="s">
        <v>65</v>
      </c>
    </row>
    <row r="391" spans="1:13" x14ac:dyDescent="0.3">
      <c r="A391" t="s">
        <v>723</v>
      </c>
      <c r="B391" t="s">
        <v>533</v>
      </c>
      <c r="C391" t="s">
        <v>45</v>
      </c>
      <c r="D391" t="s">
        <v>59</v>
      </c>
      <c r="E391" t="s">
        <v>26</v>
      </c>
      <c r="F391" t="s">
        <v>83</v>
      </c>
      <c r="G391" t="s">
        <v>104</v>
      </c>
      <c r="H391" t="s">
        <v>20</v>
      </c>
      <c r="I391">
        <v>53724</v>
      </c>
      <c r="J391">
        <v>6</v>
      </c>
      <c r="K391">
        <v>4.0999999999999996</v>
      </c>
      <c r="L391">
        <v>3</v>
      </c>
      <c r="M391" t="s">
        <v>21</v>
      </c>
    </row>
    <row r="392" spans="1:13" x14ac:dyDescent="0.3">
      <c r="A392" t="s">
        <v>724</v>
      </c>
      <c r="B392" t="s">
        <v>143</v>
      </c>
      <c r="C392" t="s">
        <v>129</v>
      </c>
      <c r="D392" t="s">
        <v>16</v>
      </c>
      <c r="E392" t="s">
        <v>17</v>
      </c>
      <c r="F392" t="s">
        <v>100</v>
      </c>
      <c r="G392" t="s">
        <v>19</v>
      </c>
      <c r="H392" t="s">
        <v>36</v>
      </c>
      <c r="I392">
        <v>12640</v>
      </c>
      <c r="J392">
        <v>8</v>
      </c>
      <c r="K392">
        <v>3.9</v>
      </c>
      <c r="L392">
        <v>6</v>
      </c>
      <c r="M392" t="s">
        <v>144</v>
      </c>
    </row>
    <row r="393" spans="1:13" x14ac:dyDescent="0.3">
      <c r="A393" t="s">
        <v>725</v>
      </c>
      <c r="B393" t="s">
        <v>135</v>
      </c>
      <c r="C393" t="s">
        <v>170</v>
      </c>
      <c r="D393" t="s">
        <v>109</v>
      </c>
      <c r="E393" t="s">
        <v>52</v>
      </c>
      <c r="F393" t="s">
        <v>53</v>
      </c>
      <c r="G393" t="s">
        <v>28</v>
      </c>
      <c r="H393" t="s">
        <v>36</v>
      </c>
      <c r="I393">
        <v>2958</v>
      </c>
      <c r="J393">
        <v>2</v>
      </c>
      <c r="K393">
        <v>4.5999999999999996</v>
      </c>
      <c r="L393">
        <v>2</v>
      </c>
      <c r="M393" t="s">
        <v>21</v>
      </c>
    </row>
    <row r="394" spans="1:13" x14ac:dyDescent="0.3">
      <c r="A394" t="s">
        <v>726</v>
      </c>
      <c r="B394" t="s">
        <v>727</v>
      </c>
      <c r="C394" t="s">
        <v>146</v>
      </c>
      <c r="D394" t="s">
        <v>63</v>
      </c>
      <c r="E394" t="s">
        <v>52</v>
      </c>
      <c r="F394" t="s">
        <v>100</v>
      </c>
      <c r="G394" t="s">
        <v>104</v>
      </c>
      <c r="H394" t="s">
        <v>64</v>
      </c>
      <c r="I394">
        <v>13272</v>
      </c>
      <c r="J394">
        <v>6</v>
      </c>
      <c r="K394">
        <v>3.4</v>
      </c>
      <c r="L394">
        <v>3</v>
      </c>
      <c r="M394" t="s">
        <v>126</v>
      </c>
    </row>
    <row r="395" spans="1:13" x14ac:dyDescent="0.3">
      <c r="A395" t="s">
        <v>728</v>
      </c>
      <c r="B395" t="s">
        <v>729</v>
      </c>
      <c r="C395" t="s">
        <v>129</v>
      </c>
      <c r="D395" t="s">
        <v>41</v>
      </c>
      <c r="E395" t="s">
        <v>42</v>
      </c>
      <c r="F395" t="s">
        <v>18</v>
      </c>
      <c r="G395" t="s">
        <v>19</v>
      </c>
      <c r="H395" t="s">
        <v>29</v>
      </c>
      <c r="I395">
        <v>25445</v>
      </c>
      <c r="J395">
        <v>5</v>
      </c>
      <c r="K395">
        <v>3.6</v>
      </c>
      <c r="L395">
        <v>6</v>
      </c>
      <c r="M395" t="s">
        <v>65</v>
      </c>
    </row>
    <row r="396" spans="1:13" x14ac:dyDescent="0.3">
      <c r="A396" t="s">
        <v>730</v>
      </c>
      <c r="B396" t="s">
        <v>731</v>
      </c>
      <c r="C396" t="s">
        <v>170</v>
      </c>
      <c r="D396" t="s">
        <v>218</v>
      </c>
      <c r="E396" t="s">
        <v>17</v>
      </c>
      <c r="F396" t="s">
        <v>27</v>
      </c>
      <c r="G396" t="s">
        <v>54</v>
      </c>
      <c r="H396" t="s">
        <v>29</v>
      </c>
      <c r="I396">
        <v>4407</v>
      </c>
      <c r="J396">
        <v>3</v>
      </c>
      <c r="K396">
        <v>4.8</v>
      </c>
      <c r="L396">
        <v>5</v>
      </c>
      <c r="M396" t="s">
        <v>55</v>
      </c>
    </row>
    <row r="397" spans="1:13" x14ac:dyDescent="0.3">
      <c r="A397" t="s">
        <v>732</v>
      </c>
      <c r="B397" t="s">
        <v>220</v>
      </c>
      <c r="C397" t="s">
        <v>129</v>
      </c>
      <c r="D397" t="s">
        <v>41</v>
      </c>
      <c r="E397" t="s">
        <v>42</v>
      </c>
      <c r="F397" t="s">
        <v>18</v>
      </c>
      <c r="G397" t="s">
        <v>19</v>
      </c>
      <c r="H397" t="s">
        <v>36</v>
      </c>
      <c r="I397">
        <v>9880</v>
      </c>
      <c r="J397">
        <v>4</v>
      </c>
      <c r="K397">
        <v>3.7</v>
      </c>
      <c r="L397">
        <v>2</v>
      </c>
      <c r="M397" t="s">
        <v>65</v>
      </c>
    </row>
    <row r="398" spans="1:13" x14ac:dyDescent="0.3">
      <c r="A398" t="s">
        <v>733</v>
      </c>
      <c r="B398" t="s">
        <v>734</v>
      </c>
      <c r="C398" t="s">
        <v>68</v>
      </c>
      <c r="D398" t="s">
        <v>41</v>
      </c>
      <c r="E398" t="s">
        <v>42</v>
      </c>
      <c r="F398" t="s">
        <v>100</v>
      </c>
      <c r="G398" t="s">
        <v>19</v>
      </c>
      <c r="H398" t="s">
        <v>20</v>
      </c>
      <c r="I398">
        <v>14967</v>
      </c>
      <c r="J398">
        <v>3</v>
      </c>
      <c r="K398">
        <v>4.5999999999999996</v>
      </c>
      <c r="L398">
        <v>3</v>
      </c>
      <c r="M398" t="s">
        <v>65</v>
      </c>
    </row>
    <row r="399" spans="1:13" x14ac:dyDescent="0.3">
      <c r="A399" t="s">
        <v>735</v>
      </c>
      <c r="B399" t="s">
        <v>454</v>
      </c>
      <c r="C399" t="s">
        <v>68</v>
      </c>
      <c r="D399" t="s">
        <v>116</v>
      </c>
      <c r="E399" t="s">
        <v>17</v>
      </c>
      <c r="F399" t="s">
        <v>100</v>
      </c>
      <c r="G399" t="s">
        <v>104</v>
      </c>
      <c r="H399" t="s">
        <v>36</v>
      </c>
      <c r="I399">
        <v>616</v>
      </c>
      <c r="J399">
        <v>2</v>
      </c>
      <c r="K399">
        <v>3.8</v>
      </c>
      <c r="L399">
        <v>1</v>
      </c>
      <c r="M399" t="s">
        <v>55</v>
      </c>
    </row>
    <row r="400" spans="1:13" x14ac:dyDescent="0.3">
      <c r="A400" t="s">
        <v>736</v>
      </c>
      <c r="B400" t="s">
        <v>737</v>
      </c>
      <c r="C400" t="s">
        <v>68</v>
      </c>
      <c r="D400" t="s">
        <v>59</v>
      </c>
      <c r="E400" t="s">
        <v>26</v>
      </c>
      <c r="F400" t="s">
        <v>53</v>
      </c>
      <c r="G400" t="s">
        <v>19</v>
      </c>
      <c r="H400" t="s">
        <v>20</v>
      </c>
      <c r="I400">
        <v>21328</v>
      </c>
      <c r="J400">
        <v>4</v>
      </c>
      <c r="K400">
        <v>4.2</v>
      </c>
      <c r="L400">
        <v>8</v>
      </c>
      <c r="M400" t="s">
        <v>192</v>
      </c>
    </row>
    <row r="401" spans="1:13" x14ac:dyDescent="0.3">
      <c r="A401" t="s">
        <v>738</v>
      </c>
      <c r="B401" t="s">
        <v>739</v>
      </c>
      <c r="C401" t="s">
        <v>58</v>
      </c>
      <c r="D401" t="s">
        <v>113</v>
      </c>
      <c r="E401" t="s">
        <v>35</v>
      </c>
      <c r="F401" t="s">
        <v>83</v>
      </c>
      <c r="G401" t="s">
        <v>19</v>
      </c>
      <c r="H401" t="s">
        <v>36</v>
      </c>
      <c r="I401">
        <v>96832</v>
      </c>
      <c r="J401">
        <v>2</v>
      </c>
      <c r="K401">
        <v>3.7</v>
      </c>
      <c r="L401">
        <v>5</v>
      </c>
      <c r="M401" t="s">
        <v>144</v>
      </c>
    </row>
    <row r="402" spans="1:13" x14ac:dyDescent="0.3">
      <c r="A402" t="s">
        <v>740</v>
      </c>
      <c r="B402" t="s">
        <v>624</v>
      </c>
      <c r="C402" t="s">
        <v>33</v>
      </c>
      <c r="D402" t="s">
        <v>165</v>
      </c>
      <c r="E402" t="s">
        <v>35</v>
      </c>
      <c r="F402" t="s">
        <v>18</v>
      </c>
      <c r="G402" t="s">
        <v>28</v>
      </c>
      <c r="H402" t="s">
        <v>64</v>
      </c>
      <c r="I402">
        <v>50400</v>
      </c>
      <c r="J402">
        <v>8</v>
      </c>
      <c r="K402">
        <v>3.3</v>
      </c>
      <c r="L402">
        <v>7</v>
      </c>
      <c r="M402" t="s">
        <v>126</v>
      </c>
    </row>
    <row r="403" spans="1:13" x14ac:dyDescent="0.3">
      <c r="A403" t="s">
        <v>741</v>
      </c>
      <c r="B403" t="s">
        <v>595</v>
      </c>
      <c r="C403" t="s">
        <v>58</v>
      </c>
      <c r="D403" t="s">
        <v>51</v>
      </c>
      <c r="E403" t="s">
        <v>52</v>
      </c>
      <c r="F403" t="s">
        <v>83</v>
      </c>
      <c r="G403" t="s">
        <v>54</v>
      </c>
      <c r="H403" t="s">
        <v>64</v>
      </c>
      <c r="I403">
        <v>9666</v>
      </c>
      <c r="J403">
        <v>6</v>
      </c>
      <c r="K403">
        <v>5</v>
      </c>
      <c r="L403">
        <v>8</v>
      </c>
      <c r="M403" t="s">
        <v>192</v>
      </c>
    </row>
    <row r="404" spans="1:13" x14ac:dyDescent="0.3">
      <c r="A404" t="s">
        <v>742</v>
      </c>
      <c r="B404" t="s">
        <v>743</v>
      </c>
      <c r="C404" t="s">
        <v>50</v>
      </c>
      <c r="D404" t="s">
        <v>116</v>
      </c>
      <c r="E404" t="s">
        <v>17</v>
      </c>
      <c r="F404" t="s">
        <v>83</v>
      </c>
      <c r="G404" t="s">
        <v>104</v>
      </c>
      <c r="H404" t="s">
        <v>29</v>
      </c>
      <c r="I404">
        <v>10104</v>
      </c>
      <c r="J404">
        <v>8</v>
      </c>
      <c r="K404">
        <v>3.7</v>
      </c>
      <c r="L404">
        <v>6</v>
      </c>
      <c r="M404" t="s">
        <v>126</v>
      </c>
    </row>
    <row r="405" spans="1:13" x14ac:dyDescent="0.3">
      <c r="A405" t="s">
        <v>744</v>
      </c>
      <c r="B405" t="s">
        <v>308</v>
      </c>
      <c r="C405" t="s">
        <v>129</v>
      </c>
      <c r="D405" t="s">
        <v>90</v>
      </c>
      <c r="E405" t="s">
        <v>42</v>
      </c>
      <c r="F405" t="s">
        <v>100</v>
      </c>
      <c r="G405" t="s">
        <v>19</v>
      </c>
      <c r="H405" t="s">
        <v>36</v>
      </c>
      <c r="I405">
        <v>9242</v>
      </c>
      <c r="J405">
        <v>2</v>
      </c>
      <c r="K405">
        <v>4.7</v>
      </c>
      <c r="L405">
        <v>5</v>
      </c>
      <c r="M405" t="s">
        <v>144</v>
      </c>
    </row>
    <row r="406" spans="1:13" x14ac:dyDescent="0.3">
      <c r="A406" t="s">
        <v>745</v>
      </c>
      <c r="B406" t="s">
        <v>681</v>
      </c>
      <c r="C406" t="s">
        <v>78</v>
      </c>
      <c r="D406" t="s">
        <v>41</v>
      </c>
      <c r="E406" t="s">
        <v>42</v>
      </c>
      <c r="F406" t="s">
        <v>83</v>
      </c>
      <c r="G406" t="s">
        <v>28</v>
      </c>
      <c r="H406" t="s">
        <v>64</v>
      </c>
      <c r="I406">
        <v>7966</v>
      </c>
      <c r="J406">
        <v>2</v>
      </c>
      <c r="K406">
        <v>3.9</v>
      </c>
      <c r="L406">
        <v>4</v>
      </c>
      <c r="M406" t="s">
        <v>126</v>
      </c>
    </row>
    <row r="407" spans="1:13" x14ac:dyDescent="0.3">
      <c r="A407" t="s">
        <v>746</v>
      </c>
      <c r="B407" t="s">
        <v>475</v>
      </c>
      <c r="C407" t="s">
        <v>58</v>
      </c>
      <c r="D407" t="s">
        <v>218</v>
      </c>
      <c r="E407" t="s">
        <v>17</v>
      </c>
      <c r="F407" t="s">
        <v>60</v>
      </c>
      <c r="G407" t="s">
        <v>54</v>
      </c>
      <c r="H407" t="s">
        <v>64</v>
      </c>
      <c r="I407">
        <v>8337</v>
      </c>
      <c r="J407">
        <v>7</v>
      </c>
      <c r="K407">
        <v>4.4000000000000004</v>
      </c>
      <c r="L407">
        <v>2</v>
      </c>
      <c r="M407" t="s">
        <v>37</v>
      </c>
    </row>
    <row r="408" spans="1:13" x14ac:dyDescent="0.3">
      <c r="A408" t="s">
        <v>747</v>
      </c>
      <c r="B408" t="s">
        <v>564</v>
      </c>
      <c r="C408" t="s">
        <v>170</v>
      </c>
      <c r="D408" t="s">
        <v>165</v>
      </c>
      <c r="E408" t="s">
        <v>35</v>
      </c>
      <c r="F408" t="s">
        <v>60</v>
      </c>
      <c r="G408" t="s">
        <v>54</v>
      </c>
      <c r="H408" t="s">
        <v>36</v>
      </c>
      <c r="I408">
        <v>445504</v>
      </c>
      <c r="J408">
        <v>8</v>
      </c>
      <c r="K408">
        <v>3.4</v>
      </c>
      <c r="L408">
        <v>7</v>
      </c>
      <c r="M408" t="s">
        <v>87</v>
      </c>
    </row>
    <row r="409" spans="1:13" x14ac:dyDescent="0.3">
      <c r="A409" t="s">
        <v>748</v>
      </c>
      <c r="B409" t="s">
        <v>640</v>
      </c>
      <c r="C409" t="s">
        <v>179</v>
      </c>
      <c r="D409" t="s">
        <v>63</v>
      </c>
      <c r="E409" t="s">
        <v>52</v>
      </c>
      <c r="F409" t="s">
        <v>83</v>
      </c>
      <c r="G409" t="s">
        <v>104</v>
      </c>
      <c r="H409" t="s">
        <v>29</v>
      </c>
      <c r="I409">
        <v>861</v>
      </c>
      <c r="J409">
        <v>1</v>
      </c>
      <c r="K409">
        <v>3.9</v>
      </c>
      <c r="L409">
        <v>8</v>
      </c>
      <c r="M409" t="s">
        <v>30</v>
      </c>
    </row>
    <row r="410" spans="1:13" x14ac:dyDescent="0.3">
      <c r="A410" t="s">
        <v>749</v>
      </c>
      <c r="B410" t="s">
        <v>391</v>
      </c>
      <c r="C410" t="s">
        <v>33</v>
      </c>
      <c r="D410" t="s">
        <v>59</v>
      </c>
      <c r="E410" t="s">
        <v>26</v>
      </c>
      <c r="F410" t="s">
        <v>53</v>
      </c>
      <c r="G410" t="s">
        <v>54</v>
      </c>
      <c r="H410" t="s">
        <v>36</v>
      </c>
      <c r="I410">
        <v>44532</v>
      </c>
      <c r="J410">
        <v>6</v>
      </c>
      <c r="K410">
        <v>4.7</v>
      </c>
      <c r="L410">
        <v>5</v>
      </c>
      <c r="M410" t="s">
        <v>47</v>
      </c>
    </row>
    <row r="411" spans="1:13" x14ac:dyDescent="0.3">
      <c r="A411" t="s">
        <v>750</v>
      </c>
      <c r="B411" t="s">
        <v>675</v>
      </c>
      <c r="C411" t="s">
        <v>50</v>
      </c>
      <c r="D411" t="s">
        <v>59</v>
      </c>
      <c r="E411" t="s">
        <v>26</v>
      </c>
      <c r="F411" t="s">
        <v>60</v>
      </c>
      <c r="G411" t="s">
        <v>28</v>
      </c>
      <c r="H411" t="s">
        <v>20</v>
      </c>
      <c r="I411">
        <v>36295</v>
      </c>
      <c r="J411">
        <v>5</v>
      </c>
      <c r="K411">
        <v>4.3</v>
      </c>
      <c r="L411">
        <v>7</v>
      </c>
      <c r="M411" t="s">
        <v>87</v>
      </c>
    </row>
    <row r="412" spans="1:13" x14ac:dyDescent="0.3">
      <c r="A412" t="s">
        <v>751</v>
      </c>
      <c r="B412" t="s">
        <v>752</v>
      </c>
      <c r="C412" t="s">
        <v>72</v>
      </c>
      <c r="D412" t="s">
        <v>51</v>
      </c>
      <c r="E412" t="s">
        <v>52</v>
      </c>
      <c r="F412" t="s">
        <v>18</v>
      </c>
      <c r="G412" t="s">
        <v>54</v>
      </c>
      <c r="H412" t="s">
        <v>36</v>
      </c>
      <c r="I412">
        <v>7300</v>
      </c>
      <c r="J412">
        <v>4</v>
      </c>
      <c r="K412">
        <v>3.7</v>
      </c>
      <c r="L412">
        <v>3</v>
      </c>
      <c r="M412" t="s">
        <v>80</v>
      </c>
    </row>
    <row r="413" spans="1:13" x14ac:dyDescent="0.3">
      <c r="A413" t="s">
        <v>753</v>
      </c>
      <c r="B413" t="s">
        <v>275</v>
      </c>
      <c r="C413" t="s">
        <v>45</v>
      </c>
      <c r="D413" t="s">
        <v>51</v>
      </c>
      <c r="E413" t="s">
        <v>52</v>
      </c>
      <c r="F413" t="s">
        <v>83</v>
      </c>
      <c r="G413" t="s">
        <v>28</v>
      </c>
      <c r="H413" t="s">
        <v>64</v>
      </c>
      <c r="I413">
        <v>4172</v>
      </c>
      <c r="J413">
        <v>7</v>
      </c>
      <c r="K413">
        <v>4.7</v>
      </c>
      <c r="L413">
        <v>7</v>
      </c>
      <c r="M413" t="s">
        <v>119</v>
      </c>
    </row>
    <row r="414" spans="1:13" x14ac:dyDescent="0.3">
      <c r="A414" t="s">
        <v>754</v>
      </c>
      <c r="B414" t="s">
        <v>352</v>
      </c>
      <c r="C414" t="s">
        <v>112</v>
      </c>
      <c r="D414" t="s">
        <v>69</v>
      </c>
      <c r="E414" t="s">
        <v>26</v>
      </c>
      <c r="F414" t="s">
        <v>53</v>
      </c>
      <c r="G414" t="s">
        <v>28</v>
      </c>
      <c r="H414" t="s">
        <v>29</v>
      </c>
      <c r="I414">
        <v>5526</v>
      </c>
      <c r="J414">
        <v>6</v>
      </c>
      <c r="K414">
        <v>4.2</v>
      </c>
      <c r="L414">
        <v>4</v>
      </c>
      <c r="M414" t="s">
        <v>55</v>
      </c>
    </row>
    <row r="415" spans="1:13" x14ac:dyDescent="0.3">
      <c r="A415" t="s">
        <v>755</v>
      </c>
      <c r="B415" t="s">
        <v>756</v>
      </c>
      <c r="C415" t="s">
        <v>72</v>
      </c>
      <c r="D415" t="s">
        <v>16</v>
      </c>
      <c r="E415" t="s">
        <v>17</v>
      </c>
      <c r="F415" t="s">
        <v>27</v>
      </c>
      <c r="G415" t="s">
        <v>104</v>
      </c>
      <c r="H415" t="s">
        <v>64</v>
      </c>
      <c r="I415">
        <v>13944</v>
      </c>
      <c r="J415">
        <v>8</v>
      </c>
      <c r="K415">
        <v>4.9000000000000004</v>
      </c>
      <c r="L415">
        <v>2</v>
      </c>
      <c r="M415" t="s">
        <v>30</v>
      </c>
    </row>
    <row r="416" spans="1:13" x14ac:dyDescent="0.3">
      <c r="A416" t="s">
        <v>757</v>
      </c>
      <c r="B416" t="s">
        <v>169</v>
      </c>
      <c r="C416" t="s">
        <v>45</v>
      </c>
      <c r="D416" t="s">
        <v>25</v>
      </c>
      <c r="E416" t="s">
        <v>26</v>
      </c>
      <c r="F416" t="s">
        <v>18</v>
      </c>
      <c r="G416" t="s">
        <v>104</v>
      </c>
      <c r="H416" t="s">
        <v>36</v>
      </c>
      <c r="I416">
        <v>19268</v>
      </c>
      <c r="J416">
        <v>2</v>
      </c>
      <c r="K416">
        <v>4.5999999999999996</v>
      </c>
      <c r="L416">
        <v>5</v>
      </c>
      <c r="M416" t="s">
        <v>65</v>
      </c>
    </row>
    <row r="417" spans="1:13" x14ac:dyDescent="0.3">
      <c r="A417" t="s">
        <v>758</v>
      </c>
      <c r="B417" t="s">
        <v>525</v>
      </c>
      <c r="C417" t="s">
        <v>45</v>
      </c>
      <c r="D417" t="s">
        <v>90</v>
      </c>
      <c r="E417" t="s">
        <v>42</v>
      </c>
      <c r="F417" t="s">
        <v>27</v>
      </c>
      <c r="G417" t="s">
        <v>104</v>
      </c>
      <c r="H417" t="s">
        <v>29</v>
      </c>
      <c r="I417">
        <v>28728</v>
      </c>
      <c r="J417">
        <v>8</v>
      </c>
      <c r="K417">
        <v>3.7</v>
      </c>
      <c r="L417">
        <v>1</v>
      </c>
      <c r="M417" t="s">
        <v>65</v>
      </c>
    </row>
    <row r="418" spans="1:13" x14ac:dyDescent="0.3">
      <c r="A418" t="s">
        <v>759</v>
      </c>
      <c r="B418" t="s">
        <v>760</v>
      </c>
      <c r="C418" t="s">
        <v>72</v>
      </c>
      <c r="D418" t="s">
        <v>116</v>
      </c>
      <c r="E418" t="s">
        <v>17</v>
      </c>
      <c r="F418" t="s">
        <v>100</v>
      </c>
      <c r="G418" t="s">
        <v>54</v>
      </c>
      <c r="H418" t="s">
        <v>29</v>
      </c>
      <c r="I418">
        <v>4419</v>
      </c>
      <c r="J418">
        <v>3</v>
      </c>
      <c r="K418">
        <v>3.7</v>
      </c>
      <c r="L418">
        <v>2</v>
      </c>
      <c r="M418" t="s">
        <v>30</v>
      </c>
    </row>
    <row r="419" spans="1:13" x14ac:dyDescent="0.3">
      <c r="A419" t="s">
        <v>761</v>
      </c>
      <c r="B419" t="s">
        <v>595</v>
      </c>
      <c r="C419" t="s">
        <v>146</v>
      </c>
      <c r="D419" t="s">
        <v>34</v>
      </c>
      <c r="E419" t="s">
        <v>35</v>
      </c>
      <c r="F419" t="s">
        <v>53</v>
      </c>
      <c r="G419" t="s">
        <v>19</v>
      </c>
      <c r="H419" t="s">
        <v>29</v>
      </c>
      <c r="I419">
        <v>21805</v>
      </c>
      <c r="J419">
        <v>5</v>
      </c>
      <c r="K419">
        <v>3.5</v>
      </c>
      <c r="L419">
        <v>3</v>
      </c>
      <c r="M419" t="s">
        <v>192</v>
      </c>
    </row>
    <row r="420" spans="1:13" x14ac:dyDescent="0.3">
      <c r="A420" t="s">
        <v>762</v>
      </c>
      <c r="B420" t="s">
        <v>763</v>
      </c>
      <c r="C420" t="s">
        <v>50</v>
      </c>
      <c r="D420" t="s">
        <v>51</v>
      </c>
      <c r="E420" t="s">
        <v>52</v>
      </c>
      <c r="F420" t="s">
        <v>83</v>
      </c>
      <c r="G420" t="s">
        <v>28</v>
      </c>
      <c r="H420" t="s">
        <v>20</v>
      </c>
      <c r="I420">
        <v>595</v>
      </c>
      <c r="J420">
        <v>1</v>
      </c>
      <c r="K420">
        <v>4.7</v>
      </c>
      <c r="L420">
        <v>7</v>
      </c>
      <c r="M420" t="s">
        <v>37</v>
      </c>
    </row>
    <row r="421" spans="1:13" x14ac:dyDescent="0.3">
      <c r="A421" t="s">
        <v>764</v>
      </c>
      <c r="B421" t="s">
        <v>697</v>
      </c>
      <c r="C421" t="s">
        <v>78</v>
      </c>
      <c r="D421" t="s">
        <v>109</v>
      </c>
      <c r="E421" t="s">
        <v>52</v>
      </c>
      <c r="F421" t="s">
        <v>83</v>
      </c>
      <c r="G421" t="s">
        <v>28</v>
      </c>
      <c r="H421" t="s">
        <v>64</v>
      </c>
      <c r="I421">
        <v>2325</v>
      </c>
      <c r="J421">
        <v>5</v>
      </c>
      <c r="K421">
        <v>4.0999999999999996</v>
      </c>
      <c r="L421">
        <v>8</v>
      </c>
      <c r="M421" t="s">
        <v>144</v>
      </c>
    </row>
    <row r="422" spans="1:13" x14ac:dyDescent="0.3">
      <c r="A422" t="s">
        <v>765</v>
      </c>
      <c r="B422" t="s">
        <v>404</v>
      </c>
      <c r="C422" t="s">
        <v>68</v>
      </c>
      <c r="D422" t="s">
        <v>46</v>
      </c>
      <c r="E422" t="s">
        <v>42</v>
      </c>
      <c r="F422" t="s">
        <v>100</v>
      </c>
      <c r="G422" t="s">
        <v>104</v>
      </c>
      <c r="H422" t="s">
        <v>64</v>
      </c>
      <c r="I422">
        <v>26803</v>
      </c>
      <c r="J422">
        <v>7</v>
      </c>
      <c r="K422">
        <v>3.8</v>
      </c>
      <c r="L422">
        <v>1</v>
      </c>
      <c r="M422" t="s">
        <v>80</v>
      </c>
    </row>
    <row r="423" spans="1:13" x14ac:dyDescent="0.3">
      <c r="A423" t="s">
        <v>766</v>
      </c>
      <c r="B423" t="s">
        <v>462</v>
      </c>
      <c r="C423" t="s">
        <v>58</v>
      </c>
      <c r="D423" t="s">
        <v>59</v>
      </c>
      <c r="E423" t="s">
        <v>26</v>
      </c>
      <c r="F423" t="s">
        <v>83</v>
      </c>
      <c r="G423" t="s">
        <v>104</v>
      </c>
      <c r="H423" t="s">
        <v>20</v>
      </c>
      <c r="I423">
        <v>36040</v>
      </c>
      <c r="J423">
        <v>5</v>
      </c>
      <c r="K423">
        <v>4</v>
      </c>
      <c r="L423">
        <v>4</v>
      </c>
      <c r="M423" t="s">
        <v>126</v>
      </c>
    </row>
    <row r="424" spans="1:13" x14ac:dyDescent="0.3">
      <c r="A424" t="s">
        <v>767</v>
      </c>
      <c r="B424" t="s">
        <v>605</v>
      </c>
      <c r="C424" t="s">
        <v>129</v>
      </c>
      <c r="D424" t="s">
        <v>165</v>
      </c>
      <c r="E424" t="s">
        <v>35</v>
      </c>
      <c r="F424" t="s">
        <v>83</v>
      </c>
      <c r="G424" t="s">
        <v>104</v>
      </c>
      <c r="H424" t="s">
        <v>29</v>
      </c>
      <c r="I424">
        <v>56403</v>
      </c>
      <c r="J424">
        <v>1</v>
      </c>
      <c r="K424">
        <v>3.4</v>
      </c>
      <c r="L424">
        <v>8</v>
      </c>
      <c r="M424" t="s">
        <v>144</v>
      </c>
    </row>
    <row r="425" spans="1:13" x14ac:dyDescent="0.3">
      <c r="A425" t="s">
        <v>768</v>
      </c>
      <c r="B425" t="s">
        <v>143</v>
      </c>
      <c r="C425" t="s">
        <v>75</v>
      </c>
      <c r="D425" t="s">
        <v>147</v>
      </c>
      <c r="E425" t="s">
        <v>52</v>
      </c>
      <c r="F425" t="s">
        <v>100</v>
      </c>
      <c r="G425" t="s">
        <v>19</v>
      </c>
      <c r="H425" t="s">
        <v>64</v>
      </c>
      <c r="I425">
        <v>2276</v>
      </c>
      <c r="J425">
        <v>2</v>
      </c>
      <c r="K425">
        <v>4.5</v>
      </c>
      <c r="L425">
        <v>2</v>
      </c>
      <c r="M425" t="s">
        <v>144</v>
      </c>
    </row>
    <row r="426" spans="1:13" x14ac:dyDescent="0.3">
      <c r="A426" t="s">
        <v>769</v>
      </c>
      <c r="B426" t="s">
        <v>675</v>
      </c>
      <c r="C426" t="s">
        <v>133</v>
      </c>
      <c r="D426" t="s">
        <v>79</v>
      </c>
      <c r="E426" t="s">
        <v>26</v>
      </c>
      <c r="F426" t="s">
        <v>27</v>
      </c>
      <c r="G426" t="s">
        <v>104</v>
      </c>
      <c r="H426" t="s">
        <v>29</v>
      </c>
      <c r="I426">
        <v>33795</v>
      </c>
      <c r="J426">
        <v>3</v>
      </c>
      <c r="K426">
        <v>4</v>
      </c>
      <c r="L426">
        <v>5</v>
      </c>
      <c r="M426" t="s">
        <v>87</v>
      </c>
    </row>
    <row r="427" spans="1:13" x14ac:dyDescent="0.3">
      <c r="A427" t="s">
        <v>770</v>
      </c>
      <c r="B427" t="s">
        <v>115</v>
      </c>
      <c r="C427" t="s">
        <v>24</v>
      </c>
      <c r="D427" t="s">
        <v>147</v>
      </c>
      <c r="E427" t="s">
        <v>52</v>
      </c>
      <c r="F427" t="s">
        <v>60</v>
      </c>
      <c r="G427" t="s">
        <v>54</v>
      </c>
      <c r="H427" t="s">
        <v>64</v>
      </c>
      <c r="I427">
        <v>1841</v>
      </c>
      <c r="J427">
        <v>1</v>
      </c>
      <c r="K427">
        <v>4.9000000000000004</v>
      </c>
      <c r="L427">
        <v>5</v>
      </c>
      <c r="M427" t="s">
        <v>21</v>
      </c>
    </row>
    <row r="428" spans="1:13" x14ac:dyDescent="0.3">
      <c r="A428" t="s">
        <v>771</v>
      </c>
      <c r="B428" t="s">
        <v>393</v>
      </c>
      <c r="C428" t="s">
        <v>146</v>
      </c>
      <c r="D428" t="s">
        <v>51</v>
      </c>
      <c r="E428" t="s">
        <v>52</v>
      </c>
      <c r="F428" t="s">
        <v>27</v>
      </c>
      <c r="G428" t="s">
        <v>104</v>
      </c>
      <c r="H428" t="s">
        <v>36</v>
      </c>
      <c r="I428">
        <v>6712</v>
      </c>
      <c r="J428">
        <v>8</v>
      </c>
      <c r="K428">
        <v>4.3</v>
      </c>
      <c r="L428">
        <v>2</v>
      </c>
      <c r="M428" t="s">
        <v>37</v>
      </c>
    </row>
    <row r="429" spans="1:13" x14ac:dyDescent="0.3">
      <c r="A429" t="s">
        <v>772</v>
      </c>
      <c r="B429" t="s">
        <v>589</v>
      </c>
      <c r="C429" t="s">
        <v>50</v>
      </c>
      <c r="D429" t="s">
        <v>16</v>
      </c>
      <c r="E429" t="s">
        <v>17</v>
      </c>
      <c r="F429" t="s">
        <v>53</v>
      </c>
      <c r="G429" t="s">
        <v>19</v>
      </c>
      <c r="H429" t="s">
        <v>29</v>
      </c>
      <c r="I429">
        <v>6065</v>
      </c>
      <c r="J429">
        <v>5</v>
      </c>
      <c r="K429">
        <v>4.4000000000000004</v>
      </c>
      <c r="L429">
        <v>1</v>
      </c>
      <c r="M429" t="s">
        <v>87</v>
      </c>
    </row>
    <row r="430" spans="1:13" x14ac:dyDescent="0.3">
      <c r="A430" t="s">
        <v>773</v>
      </c>
      <c r="B430" t="s">
        <v>326</v>
      </c>
      <c r="C430" t="s">
        <v>125</v>
      </c>
      <c r="D430" t="s">
        <v>41</v>
      </c>
      <c r="E430" t="s">
        <v>42</v>
      </c>
      <c r="F430" t="s">
        <v>18</v>
      </c>
      <c r="G430" t="s">
        <v>104</v>
      </c>
      <c r="H430" t="s">
        <v>29</v>
      </c>
      <c r="I430">
        <v>10192</v>
      </c>
      <c r="J430">
        <v>8</v>
      </c>
      <c r="K430">
        <v>3.6</v>
      </c>
      <c r="L430">
        <v>7</v>
      </c>
      <c r="M430" t="s">
        <v>65</v>
      </c>
    </row>
    <row r="431" spans="1:13" x14ac:dyDescent="0.3">
      <c r="A431" t="s">
        <v>774</v>
      </c>
      <c r="B431" t="s">
        <v>217</v>
      </c>
      <c r="C431" t="s">
        <v>179</v>
      </c>
      <c r="D431" t="s">
        <v>97</v>
      </c>
      <c r="E431" t="s">
        <v>35</v>
      </c>
      <c r="F431" t="s">
        <v>83</v>
      </c>
      <c r="G431" t="s">
        <v>54</v>
      </c>
      <c r="H431" t="s">
        <v>64</v>
      </c>
      <c r="I431">
        <v>94144</v>
      </c>
      <c r="J431">
        <v>2</v>
      </c>
      <c r="K431">
        <v>4.5999999999999996</v>
      </c>
      <c r="L431">
        <v>5</v>
      </c>
      <c r="M431" t="s">
        <v>144</v>
      </c>
    </row>
    <row r="432" spans="1:13" x14ac:dyDescent="0.3">
      <c r="A432" t="s">
        <v>775</v>
      </c>
      <c r="B432" t="s">
        <v>298</v>
      </c>
      <c r="C432" t="s">
        <v>72</v>
      </c>
      <c r="D432" t="s">
        <v>109</v>
      </c>
      <c r="E432" t="s">
        <v>52</v>
      </c>
      <c r="F432" t="s">
        <v>18</v>
      </c>
      <c r="G432" t="s">
        <v>19</v>
      </c>
      <c r="H432" t="s">
        <v>36</v>
      </c>
      <c r="I432">
        <v>12047</v>
      </c>
      <c r="J432">
        <v>7</v>
      </c>
      <c r="K432">
        <v>4</v>
      </c>
      <c r="L432">
        <v>4</v>
      </c>
      <c r="M432" t="s">
        <v>119</v>
      </c>
    </row>
    <row r="433" spans="1:13" x14ac:dyDescent="0.3">
      <c r="A433" t="s">
        <v>776</v>
      </c>
      <c r="B433" t="s">
        <v>74</v>
      </c>
      <c r="C433" t="s">
        <v>15</v>
      </c>
      <c r="D433" t="s">
        <v>79</v>
      </c>
      <c r="E433" t="s">
        <v>26</v>
      </c>
      <c r="F433" t="s">
        <v>18</v>
      </c>
      <c r="G433" t="s">
        <v>104</v>
      </c>
      <c r="H433" t="s">
        <v>36</v>
      </c>
      <c r="I433">
        <v>66836</v>
      </c>
      <c r="J433">
        <v>7</v>
      </c>
      <c r="K433">
        <v>4.9000000000000004</v>
      </c>
      <c r="L433">
        <v>8</v>
      </c>
      <c r="M433" t="s">
        <v>65</v>
      </c>
    </row>
    <row r="434" spans="1:13" x14ac:dyDescent="0.3">
      <c r="A434" t="s">
        <v>777</v>
      </c>
      <c r="B434" t="s">
        <v>176</v>
      </c>
      <c r="C434" t="s">
        <v>75</v>
      </c>
      <c r="D434" t="s">
        <v>113</v>
      </c>
      <c r="E434" t="s">
        <v>35</v>
      </c>
      <c r="F434" t="s">
        <v>18</v>
      </c>
      <c r="G434" t="s">
        <v>19</v>
      </c>
      <c r="H434" t="s">
        <v>64</v>
      </c>
      <c r="I434">
        <v>125158</v>
      </c>
      <c r="J434">
        <v>2</v>
      </c>
      <c r="K434">
        <v>4.5</v>
      </c>
      <c r="L434">
        <v>4</v>
      </c>
      <c r="M434" t="s">
        <v>55</v>
      </c>
    </row>
    <row r="435" spans="1:13" x14ac:dyDescent="0.3">
      <c r="A435" t="s">
        <v>778</v>
      </c>
      <c r="B435" t="s">
        <v>215</v>
      </c>
      <c r="C435" t="s">
        <v>68</v>
      </c>
      <c r="D435" t="s">
        <v>116</v>
      </c>
      <c r="E435" t="s">
        <v>17</v>
      </c>
      <c r="F435" t="s">
        <v>60</v>
      </c>
      <c r="G435" t="s">
        <v>19</v>
      </c>
      <c r="H435" t="s">
        <v>36</v>
      </c>
      <c r="I435">
        <v>797</v>
      </c>
      <c r="J435">
        <v>1</v>
      </c>
      <c r="K435">
        <v>3.3</v>
      </c>
      <c r="L435">
        <v>5</v>
      </c>
      <c r="M435" t="s">
        <v>192</v>
      </c>
    </row>
    <row r="436" spans="1:13" x14ac:dyDescent="0.3">
      <c r="A436" t="s">
        <v>779</v>
      </c>
      <c r="B436" t="s">
        <v>220</v>
      </c>
      <c r="C436" t="s">
        <v>58</v>
      </c>
      <c r="D436" t="s">
        <v>16</v>
      </c>
      <c r="E436" t="s">
        <v>17</v>
      </c>
      <c r="F436" t="s">
        <v>100</v>
      </c>
      <c r="G436" t="s">
        <v>19</v>
      </c>
      <c r="H436" t="s">
        <v>29</v>
      </c>
      <c r="I436">
        <v>1716</v>
      </c>
      <c r="J436">
        <v>4</v>
      </c>
      <c r="K436">
        <v>3.9</v>
      </c>
      <c r="L436">
        <v>2</v>
      </c>
      <c r="M436" t="s">
        <v>65</v>
      </c>
    </row>
    <row r="437" spans="1:13" x14ac:dyDescent="0.3">
      <c r="A437" t="s">
        <v>780</v>
      </c>
      <c r="B437" t="s">
        <v>489</v>
      </c>
      <c r="C437" t="s">
        <v>129</v>
      </c>
      <c r="D437" t="s">
        <v>147</v>
      </c>
      <c r="E437" t="s">
        <v>52</v>
      </c>
      <c r="F437" t="s">
        <v>100</v>
      </c>
      <c r="G437" t="s">
        <v>19</v>
      </c>
      <c r="H437" t="s">
        <v>64</v>
      </c>
      <c r="I437">
        <v>1524</v>
      </c>
      <c r="J437">
        <v>3</v>
      </c>
      <c r="K437">
        <v>4.5999999999999996</v>
      </c>
      <c r="L437">
        <v>3</v>
      </c>
      <c r="M437" t="s">
        <v>30</v>
      </c>
    </row>
    <row r="438" spans="1:13" x14ac:dyDescent="0.3">
      <c r="A438" t="s">
        <v>781</v>
      </c>
      <c r="B438" t="s">
        <v>670</v>
      </c>
      <c r="C438" t="s">
        <v>24</v>
      </c>
      <c r="D438" t="s">
        <v>147</v>
      </c>
      <c r="E438" t="s">
        <v>52</v>
      </c>
      <c r="F438" t="s">
        <v>18</v>
      </c>
      <c r="G438" t="s">
        <v>104</v>
      </c>
      <c r="H438" t="s">
        <v>64</v>
      </c>
      <c r="I438">
        <v>3580</v>
      </c>
      <c r="J438">
        <v>2</v>
      </c>
      <c r="K438">
        <v>3.3</v>
      </c>
      <c r="L438">
        <v>1</v>
      </c>
      <c r="M438" t="s">
        <v>80</v>
      </c>
    </row>
    <row r="439" spans="1:13" x14ac:dyDescent="0.3">
      <c r="A439" t="s">
        <v>782</v>
      </c>
      <c r="B439" t="s">
        <v>635</v>
      </c>
      <c r="C439" t="s">
        <v>45</v>
      </c>
      <c r="D439" t="s">
        <v>159</v>
      </c>
      <c r="E439" t="s">
        <v>42</v>
      </c>
      <c r="F439" t="s">
        <v>27</v>
      </c>
      <c r="G439" t="s">
        <v>54</v>
      </c>
      <c r="H439" t="s">
        <v>20</v>
      </c>
      <c r="I439">
        <v>13167</v>
      </c>
      <c r="J439">
        <v>3</v>
      </c>
      <c r="K439">
        <v>3.6</v>
      </c>
      <c r="L439">
        <v>3</v>
      </c>
      <c r="M439" t="s">
        <v>37</v>
      </c>
    </row>
    <row r="440" spans="1:13" x14ac:dyDescent="0.3">
      <c r="A440" t="s">
        <v>783</v>
      </c>
      <c r="B440" t="s">
        <v>784</v>
      </c>
      <c r="C440" t="s">
        <v>45</v>
      </c>
      <c r="D440" t="s">
        <v>41</v>
      </c>
      <c r="E440" t="s">
        <v>42</v>
      </c>
      <c r="F440" t="s">
        <v>53</v>
      </c>
      <c r="G440" t="s">
        <v>19</v>
      </c>
      <c r="H440" t="s">
        <v>64</v>
      </c>
      <c r="I440">
        <v>26340</v>
      </c>
      <c r="J440">
        <v>5</v>
      </c>
      <c r="K440">
        <v>3.5</v>
      </c>
      <c r="L440">
        <v>2</v>
      </c>
      <c r="M440" t="s">
        <v>192</v>
      </c>
    </row>
    <row r="441" spans="1:13" x14ac:dyDescent="0.3">
      <c r="A441" t="s">
        <v>785</v>
      </c>
      <c r="B441" t="s">
        <v>697</v>
      </c>
      <c r="C441" t="s">
        <v>33</v>
      </c>
      <c r="D441" t="s">
        <v>109</v>
      </c>
      <c r="E441" t="s">
        <v>52</v>
      </c>
      <c r="F441" t="s">
        <v>27</v>
      </c>
      <c r="G441" t="s">
        <v>104</v>
      </c>
      <c r="H441" t="s">
        <v>29</v>
      </c>
      <c r="I441">
        <v>3444</v>
      </c>
      <c r="J441">
        <v>4</v>
      </c>
      <c r="K441">
        <v>3.5</v>
      </c>
      <c r="L441">
        <v>1</v>
      </c>
      <c r="M441" t="s">
        <v>144</v>
      </c>
    </row>
    <row r="442" spans="1:13" x14ac:dyDescent="0.3">
      <c r="A442" t="s">
        <v>786</v>
      </c>
      <c r="B442" t="s">
        <v>195</v>
      </c>
      <c r="C442" t="s">
        <v>24</v>
      </c>
      <c r="D442" t="s">
        <v>51</v>
      </c>
      <c r="E442" t="s">
        <v>52</v>
      </c>
      <c r="F442" t="s">
        <v>18</v>
      </c>
      <c r="G442" t="s">
        <v>28</v>
      </c>
      <c r="H442" t="s">
        <v>36</v>
      </c>
      <c r="I442">
        <v>12636</v>
      </c>
      <c r="J442">
        <v>6</v>
      </c>
      <c r="K442">
        <v>4.9000000000000004</v>
      </c>
      <c r="L442">
        <v>3</v>
      </c>
      <c r="M442" t="s">
        <v>21</v>
      </c>
    </row>
    <row r="443" spans="1:13" x14ac:dyDescent="0.3">
      <c r="A443" t="s">
        <v>787</v>
      </c>
      <c r="B443" t="s">
        <v>313</v>
      </c>
      <c r="C443" t="s">
        <v>122</v>
      </c>
      <c r="D443" t="s">
        <v>86</v>
      </c>
      <c r="E443" t="s">
        <v>17</v>
      </c>
      <c r="F443" t="s">
        <v>27</v>
      </c>
      <c r="G443" t="s">
        <v>28</v>
      </c>
      <c r="H443" t="s">
        <v>20</v>
      </c>
      <c r="I443">
        <v>6948</v>
      </c>
      <c r="J443">
        <v>6</v>
      </c>
      <c r="K443">
        <v>3.8</v>
      </c>
      <c r="L443">
        <v>2</v>
      </c>
      <c r="M443" t="s">
        <v>47</v>
      </c>
    </row>
    <row r="444" spans="1:13" x14ac:dyDescent="0.3">
      <c r="A444" t="s">
        <v>788</v>
      </c>
      <c r="B444" t="s">
        <v>185</v>
      </c>
      <c r="C444" t="s">
        <v>24</v>
      </c>
      <c r="D444" t="s">
        <v>159</v>
      </c>
      <c r="E444" t="s">
        <v>42</v>
      </c>
      <c r="F444" t="s">
        <v>60</v>
      </c>
      <c r="G444" t="s">
        <v>104</v>
      </c>
      <c r="H444" t="s">
        <v>20</v>
      </c>
      <c r="I444">
        <v>34160</v>
      </c>
      <c r="J444">
        <v>8</v>
      </c>
      <c r="K444">
        <v>3.6</v>
      </c>
      <c r="L444">
        <v>8</v>
      </c>
      <c r="M444" t="s">
        <v>87</v>
      </c>
    </row>
    <row r="445" spans="1:13" x14ac:dyDescent="0.3">
      <c r="A445" t="s">
        <v>789</v>
      </c>
      <c r="B445" t="s">
        <v>790</v>
      </c>
      <c r="C445" t="s">
        <v>103</v>
      </c>
      <c r="D445" t="s">
        <v>159</v>
      </c>
      <c r="E445" t="s">
        <v>42</v>
      </c>
      <c r="F445" t="s">
        <v>83</v>
      </c>
      <c r="G445" t="s">
        <v>54</v>
      </c>
      <c r="H445" t="s">
        <v>64</v>
      </c>
      <c r="I445">
        <v>10452</v>
      </c>
      <c r="J445">
        <v>6</v>
      </c>
      <c r="K445">
        <v>4.4000000000000004</v>
      </c>
      <c r="L445">
        <v>1</v>
      </c>
      <c r="M445" t="s">
        <v>192</v>
      </c>
    </row>
    <row r="446" spans="1:13" x14ac:dyDescent="0.3">
      <c r="A446" t="s">
        <v>791</v>
      </c>
      <c r="B446" t="s">
        <v>336</v>
      </c>
      <c r="C446" t="s">
        <v>58</v>
      </c>
      <c r="D446" t="s">
        <v>90</v>
      </c>
      <c r="E446" t="s">
        <v>42</v>
      </c>
      <c r="F446" t="s">
        <v>100</v>
      </c>
      <c r="G446" t="s">
        <v>19</v>
      </c>
      <c r="H446" t="s">
        <v>36</v>
      </c>
      <c r="I446">
        <v>11904</v>
      </c>
      <c r="J446">
        <v>6</v>
      </c>
      <c r="K446">
        <v>4.9000000000000004</v>
      </c>
      <c r="L446">
        <v>3</v>
      </c>
      <c r="M446" t="s">
        <v>80</v>
      </c>
    </row>
    <row r="447" spans="1:13" x14ac:dyDescent="0.3">
      <c r="A447" t="s">
        <v>792</v>
      </c>
      <c r="B447" t="s">
        <v>32</v>
      </c>
      <c r="C447" t="s">
        <v>58</v>
      </c>
      <c r="D447" t="s">
        <v>90</v>
      </c>
      <c r="E447" t="s">
        <v>42</v>
      </c>
      <c r="F447" t="s">
        <v>83</v>
      </c>
      <c r="G447" t="s">
        <v>19</v>
      </c>
      <c r="H447" t="s">
        <v>36</v>
      </c>
      <c r="I447">
        <v>33656</v>
      </c>
      <c r="J447">
        <v>8</v>
      </c>
      <c r="K447">
        <v>3.6</v>
      </c>
      <c r="L447">
        <v>7</v>
      </c>
      <c r="M447" t="s">
        <v>37</v>
      </c>
    </row>
    <row r="448" spans="1:13" x14ac:dyDescent="0.3">
      <c r="A448" t="s">
        <v>793</v>
      </c>
      <c r="B448" t="s">
        <v>583</v>
      </c>
      <c r="C448" t="s">
        <v>146</v>
      </c>
      <c r="D448" t="s">
        <v>41</v>
      </c>
      <c r="E448" t="s">
        <v>42</v>
      </c>
      <c r="F448" t="s">
        <v>60</v>
      </c>
      <c r="G448" t="s">
        <v>19</v>
      </c>
      <c r="H448" t="s">
        <v>36</v>
      </c>
      <c r="I448">
        <v>40400</v>
      </c>
      <c r="J448">
        <v>8</v>
      </c>
      <c r="K448">
        <v>4.0999999999999996</v>
      </c>
      <c r="L448">
        <v>2</v>
      </c>
      <c r="M448" t="s">
        <v>144</v>
      </c>
    </row>
    <row r="449" spans="1:13" x14ac:dyDescent="0.3">
      <c r="A449" t="s">
        <v>794</v>
      </c>
      <c r="B449" t="s">
        <v>411</v>
      </c>
      <c r="C449" t="s">
        <v>15</v>
      </c>
      <c r="D449" t="s">
        <v>25</v>
      </c>
      <c r="E449" t="s">
        <v>26</v>
      </c>
      <c r="F449" t="s">
        <v>60</v>
      </c>
      <c r="G449" t="s">
        <v>104</v>
      </c>
      <c r="H449" t="s">
        <v>20</v>
      </c>
      <c r="I449">
        <v>33012</v>
      </c>
      <c r="J449">
        <v>7</v>
      </c>
      <c r="K449">
        <v>4.4000000000000004</v>
      </c>
      <c r="L449">
        <v>2</v>
      </c>
      <c r="M449" t="s">
        <v>119</v>
      </c>
    </row>
    <row r="450" spans="1:13" x14ac:dyDescent="0.3">
      <c r="A450" t="s">
        <v>795</v>
      </c>
      <c r="B450" t="s">
        <v>44</v>
      </c>
      <c r="C450" t="s">
        <v>75</v>
      </c>
      <c r="D450" t="s">
        <v>41</v>
      </c>
      <c r="E450" t="s">
        <v>42</v>
      </c>
      <c r="F450" t="s">
        <v>60</v>
      </c>
      <c r="G450" t="s">
        <v>104</v>
      </c>
      <c r="H450" t="s">
        <v>36</v>
      </c>
      <c r="I450">
        <v>29872</v>
      </c>
      <c r="J450">
        <v>8</v>
      </c>
      <c r="K450">
        <v>4</v>
      </c>
      <c r="L450">
        <v>1</v>
      </c>
      <c r="M450" t="s">
        <v>47</v>
      </c>
    </row>
    <row r="451" spans="1:13" x14ac:dyDescent="0.3">
      <c r="A451" t="s">
        <v>796</v>
      </c>
      <c r="B451" t="s">
        <v>797</v>
      </c>
      <c r="C451" t="s">
        <v>33</v>
      </c>
      <c r="D451" t="s">
        <v>97</v>
      </c>
      <c r="E451" t="s">
        <v>35</v>
      </c>
      <c r="F451" t="s">
        <v>18</v>
      </c>
      <c r="G451" t="s">
        <v>28</v>
      </c>
      <c r="H451" t="s">
        <v>29</v>
      </c>
      <c r="I451">
        <v>335296</v>
      </c>
      <c r="J451">
        <v>4</v>
      </c>
      <c r="K451">
        <v>4.0999999999999996</v>
      </c>
      <c r="L451">
        <v>6</v>
      </c>
      <c r="M451" t="s">
        <v>21</v>
      </c>
    </row>
    <row r="452" spans="1:13" x14ac:dyDescent="0.3">
      <c r="A452" t="s">
        <v>798</v>
      </c>
      <c r="B452" t="s">
        <v>799</v>
      </c>
      <c r="C452" t="s">
        <v>78</v>
      </c>
      <c r="D452" t="s">
        <v>41</v>
      </c>
      <c r="E452" t="s">
        <v>42</v>
      </c>
      <c r="F452" t="s">
        <v>18</v>
      </c>
      <c r="G452" t="s">
        <v>28</v>
      </c>
      <c r="H452" t="s">
        <v>20</v>
      </c>
      <c r="I452">
        <v>14262</v>
      </c>
      <c r="J452">
        <v>6</v>
      </c>
      <c r="K452">
        <v>5</v>
      </c>
      <c r="L452">
        <v>4</v>
      </c>
      <c r="M452" t="s">
        <v>55</v>
      </c>
    </row>
    <row r="453" spans="1:13" x14ac:dyDescent="0.3">
      <c r="A453" t="s">
        <v>800</v>
      </c>
      <c r="B453" t="s">
        <v>154</v>
      </c>
      <c r="C453" t="s">
        <v>125</v>
      </c>
      <c r="D453" t="s">
        <v>109</v>
      </c>
      <c r="E453" t="s">
        <v>52</v>
      </c>
      <c r="F453" t="s">
        <v>100</v>
      </c>
      <c r="G453" t="s">
        <v>54</v>
      </c>
      <c r="H453" t="s">
        <v>64</v>
      </c>
      <c r="I453">
        <v>9910</v>
      </c>
      <c r="J453">
        <v>5</v>
      </c>
      <c r="K453">
        <v>3.9</v>
      </c>
      <c r="L453">
        <v>8</v>
      </c>
      <c r="M453" t="s">
        <v>126</v>
      </c>
    </row>
    <row r="454" spans="1:13" x14ac:dyDescent="0.3">
      <c r="A454" t="s">
        <v>801</v>
      </c>
      <c r="B454" t="s">
        <v>802</v>
      </c>
      <c r="C454" t="s">
        <v>40</v>
      </c>
      <c r="D454" t="s">
        <v>59</v>
      </c>
      <c r="E454" t="s">
        <v>26</v>
      </c>
      <c r="F454" t="s">
        <v>18</v>
      </c>
      <c r="G454" t="s">
        <v>54</v>
      </c>
      <c r="H454" t="s">
        <v>20</v>
      </c>
      <c r="I454">
        <v>13380</v>
      </c>
      <c r="J454">
        <v>6</v>
      </c>
      <c r="K454">
        <v>3.3</v>
      </c>
      <c r="L454">
        <v>3</v>
      </c>
      <c r="M454" t="s">
        <v>47</v>
      </c>
    </row>
    <row r="455" spans="1:13" x14ac:dyDescent="0.3">
      <c r="A455" t="s">
        <v>803</v>
      </c>
      <c r="B455" t="s">
        <v>298</v>
      </c>
      <c r="C455" t="s">
        <v>78</v>
      </c>
      <c r="D455" t="s">
        <v>113</v>
      </c>
      <c r="E455" t="s">
        <v>35</v>
      </c>
      <c r="F455" t="s">
        <v>83</v>
      </c>
      <c r="G455" t="s">
        <v>28</v>
      </c>
      <c r="H455" t="s">
        <v>29</v>
      </c>
      <c r="I455">
        <v>87816</v>
      </c>
      <c r="J455">
        <v>3</v>
      </c>
      <c r="K455">
        <v>3.2</v>
      </c>
      <c r="L455">
        <v>7</v>
      </c>
      <c r="M455" t="s">
        <v>119</v>
      </c>
    </row>
    <row r="456" spans="1:13" x14ac:dyDescent="0.3">
      <c r="A456" t="s">
        <v>804</v>
      </c>
      <c r="B456" t="s">
        <v>805</v>
      </c>
      <c r="C456" t="s">
        <v>133</v>
      </c>
      <c r="D456" t="s">
        <v>90</v>
      </c>
      <c r="E456" t="s">
        <v>42</v>
      </c>
      <c r="F456" t="s">
        <v>100</v>
      </c>
      <c r="G456" t="s">
        <v>104</v>
      </c>
      <c r="H456" t="s">
        <v>29</v>
      </c>
      <c r="I456">
        <v>880</v>
      </c>
      <c r="J456">
        <v>1</v>
      </c>
      <c r="K456">
        <v>4.7</v>
      </c>
      <c r="L456">
        <v>6</v>
      </c>
      <c r="M456" t="s">
        <v>192</v>
      </c>
    </row>
    <row r="457" spans="1:13" x14ac:dyDescent="0.3">
      <c r="A457" t="s">
        <v>806</v>
      </c>
      <c r="B457" t="s">
        <v>406</v>
      </c>
      <c r="C457" t="s">
        <v>40</v>
      </c>
      <c r="D457" t="s">
        <v>90</v>
      </c>
      <c r="E457" t="s">
        <v>42</v>
      </c>
      <c r="F457" t="s">
        <v>18</v>
      </c>
      <c r="G457" t="s">
        <v>19</v>
      </c>
      <c r="H457" t="s">
        <v>29</v>
      </c>
      <c r="I457">
        <v>10530</v>
      </c>
      <c r="J457">
        <v>5</v>
      </c>
      <c r="K457">
        <v>3.6</v>
      </c>
      <c r="L457">
        <v>6</v>
      </c>
      <c r="M457" t="s">
        <v>47</v>
      </c>
    </row>
    <row r="458" spans="1:13" x14ac:dyDescent="0.3">
      <c r="A458" t="s">
        <v>807</v>
      </c>
      <c r="B458" t="s">
        <v>415</v>
      </c>
      <c r="C458" t="s">
        <v>24</v>
      </c>
      <c r="D458" t="s">
        <v>97</v>
      </c>
      <c r="E458" t="s">
        <v>35</v>
      </c>
      <c r="F458" t="s">
        <v>83</v>
      </c>
      <c r="G458" t="s">
        <v>54</v>
      </c>
      <c r="H458" t="s">
        <v>36</v>
      </c>
      <c r="I458">
        <v>119661</v>
      </c>
      <c r="J458">
        <v>3</v>
      </c>
      <c r="K458">
        <v>4.7</v>
      </c>
      <c r="L458">
        <v>3</v>
      </c>
      <c r="M458" t="s">
        <v>80</v>
      </c>
    </row>
    <row r="459" spans="1:13" x14ac:dyDescent="0.3">
      <c r="A459" t="s">
        <v>808</v>
      </c>
      <c r="B459" t="s">
        <v>510</v>
      </c>
      <c r="C459" t="s">
        <v>129</v>
      </c>
      <c r="D459" t="s">
        <v>165</v>
      </c>
      <c r="E459" t="s">
        <v>35</v>
      </c>
      <c r="F459" t="s">
        <v>83</v>
      </c>
      <c r="G459" t="s">
        <v>104</v>
      </c>
      <c r="H459" t="s">
        <v>64</v>
      </c>
      <c r="I459">
        <v>213456</v>
      </c>
      <c r="J459">
        <v>8</v>
      </c>
      <c r="K459">
        <v>4.5</v>
      </c>
      <c r="L459">
        <v>6</v>
      </c>
      <c r="M459" t="s">
        <v>80</v>
      </c>
    </row>
    <row r="460" spans="1:13" x14ac:dyDescent="0.3">
      <c r="A460" t="s">
        <v>809</v>
      </c>
      <c r="B460" t="s">
        <v>810</v>
      </c>
      <c r="C460" t="s">
        <v>72</v>
      </c>
      <c r="D460" t="s">
        <v>79</v>
      </c>
      <c r="E460" t="s">
        <v>26</v>
      </c>
      <c r="F460" t="s">
        <v>18</v>
      </c>
      <c r="G460" t="s">
        <v>104</v>
      </c>
      <c r="H460" t="s">
        <v>29</v>
      </c>
      <c r="I460">
        <v>15905</v>
      </c>
      <c r="J460">
        <v>5</v>
      </c>
      <c r="K460">
        <v>4.9000000000000004</v>
      </c>
      <c r="L460">
        <v>6</v>
      </c>
      <c r="M460" t="s">
        <v>30</v>
      </c>
    </row>
    <row r="461" spans="1:13" x14ac:dyDescent="0.3">
      <c r="A461" t="s">
        <v>811</v>
      </c>
      <c r="B461" t="s">
        <v>252</v>
      </c>
      <c r="C461" t="s">
        <v>78</v>
      </c>
      <c r="D461" t="s">
        <v>46</v>
      </c>
      <c r="E461" t="s">
        <v>42</v>
      </c>
      <c r="F461" t="s">
        <v>18</v>
      </c>
      <c r="G461" t="s">
        <v>104</v>
      </c>
      <c r="H461" t="s">
        <v>36</v>
      </c>
      <c r="I461">
        <v>4860</v>
      </c>
      <c r="J461">
        <v>3</v>
      </c>
      <c r="K461">
        <v>4.8</v>
      </c>
      <c r="L461">
        <v>3</v>
      </c>
      <c r="M461" t="s">
        <v>30</v>
      </c>
    </row>
    <row r="462" spans="1:13" x14ac:dyDescent="0.3">
      <c r="A462" t="s">
        <v>812</v>
      </c>
      <c r="B462" t="s">
        <v>306</v>
      </c>
      <c r="C462" t="s">
        <v>103</v>
      </c>
      <c r="D462" t="s">
        <v>159</v>
      </c>
      <c r="E462" t="s">
        <v>42</v>
      </c>
      <c r="F462" t="s">
        <v>83</v>
      </c>
      <c r="G462" t="s">
        <v>54</v>
      </c>
      <c r="H462" t="s">
        <v>36</v>
      </c>
      <c r="I462">
        <v>34086</v>
      </c>
      <c r="J462">
        <v>6</v>
      </c>
      <c r="K462">
        <v>3.6</v>
      </c>
      <c r="L462">
        <v>4</v>
      </c>
      <c r="M462" t="s">
        <v>47</v>
      </c>
    </row>
    <row r="463" spans="1:13" x14ac:dyDescent="0.3">
      <c r="A463" t="s">
        <v>813</v>
      </c>
      <c r="B463" t="s">
        <v>139</v>
      </c>
      <c r="C463" t="s">
        <v>129</v>
      </c>
      <c r="D463" t="s">
        <v>69</v>
      </c>
      <c r="E463" t="s">
        <v>26</v>
      </c>
      <c r="F463" t="s">
        <v>60</v>
      </c>
      <c r="G463" t="s">
        <v>19</v>
      </c>
      <c r="H463" t="s">
        <v>64</v>
      </c>
      <c r="I463">
        <v>12012</v>
      </c>
      <c r="J463">
        <v>2</v>
      </c>
      <c r="K463">
        <v>4.3</v>
      </c>
      <c r="L463">
        <v>1</v>
      </c>
      <c r="M463" t="s">
        <v>119</v>
      </c>
    </row>
    <row r="464" spans="1:13" x14ac:dyDescent="0.3">
      <c r="A464" t="s">
        <v>814</v>
      </c>
      <c r="B464" t="s">
        <v>310</v>
      </c>
      <c r="C464" t="s">
        <v>179</v>
      </c>
      <c r="D464" t="s">
        <v>97</v>
      </c>
      <c r="E464" t="s">
        <v>35</v>
      </c>
      <c r="F464" t="s">
        <v>27</v>
      </c>
      <c r="G464" t="s">
        <v>28</v>
      </c>
      <c r="H464" t="s">
        <v>64</v>
      </c>
      <c r="I464">
        <v>48552</v>
      </c>
      <c r="J464">
        <v>1</v>
      </c>
      <c r="K464">
        <v>4.8</v>
      </c>
      <c r="L464">
        <v>2</v>
      </c>
      <c r="M464" t="s">
        <v>55</v>
      </c>
    </row>
    <row r="465" spans="1:13" x14ac:dyDescent="0.3">
      <c r="A465" t="s">
        <v>815</v>
      </c>
      <c r="B465" t="s">
        <v>708</v>
      </c>
      <c r="C465" t="s">
        <v>40</v>
      </c>
      <c r="D465" t="s">
        <v>46</v>
      </c>
      <c r="E465" t="s">
        <v>42</v>
      </c>
      <c r="F465" t="s">
        <v>60</v>
      </c>
      <c r="G465" t="s">
        <v>104</v>
      </c>
      <c r="H465" t="s">
        <v>36</v>
      </c>
      <c r="I465">
        <v>38570</v>
      </c>
      <c r="J465">
        <v>7</v>
      </c>
      <c r="K465">
        <v>3.4</v>
      </c>
      <c r="L465">
        <v>4</v>
      </c>
      <c r="M465" t="s">
        <v>80</v>
      </c>
    </row>
    <row r="466" spans="1:13" x14ac:dyDescent="0.3">
      <c r="A466" t="s">
        <v>816</v>
      </c>
      <c r="B466" t="s">
        <v>561</v>
      </c>
      <c r="C466" t="s">
        <v>179</v>
      </c>
      <c r="D466" t="s">
        <v>69</v>
      </c>
      <c r="E466" t="s">
        <v>26</v>
      </c>
      <c r="F466" t="s">
        <v>83</v>
      </c>
      <c r="G466" t="s">
        <v>28</v>
      </c>
      <c r="H466" t="s">
        <v>29</v>
      </c>
      <c r="I466">
        <v>9906</v>
      </c>
      <c r="J466">
        <v>1</v>
      </c>
      <c r="K466">
        <v>4</v>
      </c>
      <c r="L466">
        <v>3</v>
      </c>
      <c r="M466" t="s">
        <v>87</v>
      </c>
    </row>
    <row r="467" spans="1:13" x14ac:dyDescent="0.3">
      <c r="A467" t="s">
        <v>817</v>
      </c>
      <c r="B467" t="s">
        <v>666</v>
      </c>
      <c r="C467" t="s">
        <v>72</v>
      </c>
      <c r="D467" t="s">
        <v>69</v>
      </c>
      <c r="E467" t="s">
        <v>26</v>
      </c>
      <c r="F467" t="s">
        <v>53</v>
      </c>
      <c r="G467" t="s">
        <v>104</v>
      </c>
      <c r="H467" t="s">
        <v>64</v>
      </c>
      <c r="I467">
        <v>41965</v>
      </c>
      <c r="J467">
        <v>5</v>
      </c>
      <c r="K467">
        <v>3.6</v>
      </c>
      <c r="L467">
        <v>1</v>
      </c>
      <c r="M467" t="s">
        <v>144</v>
      </c>
    </row>
    <row r="468" spans="1:13" x14ac:dyDescent="0.3">
      <c r="A468" t="s">
        <v>818</v>
      </c>
      <c r="B468" t="s">
        <v>545</v>
      </c>
      <c r="C468" t="s">
        <v>45</v>
      </c>
      <c r="D468" t="s">
        <v>218</v>
      </c>
      <c r="E468" t="s">
        <v>17</v>
      </c>
      <c r="F468" t="s">
        <v>27</v>
      </c>
      <c r="G468" t="s">
        <v>104</v>
      </c>
      <c r="H468" t="s">
        <v>64</v>
      </c>
      <c r="I468">
        <v>3921</v>
      </c>
      <c r="J468">
        <v>3</v>
      </c>
      <c r="K468">
        <v>4.0999999999999996</v>
      </c>
      <c r="L468">
        <v>2</v>
      </c>
      <c r="M468" t="s">
        <v>47</v>
      </c>
    </row>
    <row r="469" spans="1:13" x14ac:dyDescent="0.3">
      <c r="A469" t="s">
        <v>819</v>
      </c>
      <c r="B469" t="s">
        <v>533</v>
      </c>
      <c r="C469" t="s">
        <v>24</v>
      </c>
      <c r="D469" t="s">
        <v>69</v>
      </c>
      <c r="E469" t="s">
        <v>26</v>
      </c>
      <c r="F469" t="s">
        <v>100</v>
      </c>
      <c r="G469" t="s">
        <v>54</v>
      </c>
      <c r="H469" t="s">
        <v>20</v>
      </c>
      <c r="I469">
        <v>81800</v>
      </c>
      <c r="J469">
        <v>8</v>
      </c>
      <c r="K469">
        <v>3.2</v>
      </c>
      <c r="L469">
        <v>5</v>
      </c>
      <c r="M469" t="s">
        <v>21</v>
      </c>
    </row>
    <row r="470" spans="1:13" x14ac:dyDescent="0.3">
      <c r="A470" t="s">
        <v>820</v>
      </c>
      <c r="B470" t="s">
        <v>411</v>
      </c>
      <c r="C470" t="s">
        <v>33</v>
      </c>
      <c r="D470" t="s">
        <v>97</v>
      </c>
      <c r="E470" t="s">
        <v>35</v>
      </c>
      <c r="F470" t="s">
        <v>53</v>
      </c>
      <c r="G470" t="s">
        <v>104</v>
      </c>
      <c r="H470" t="s">
        <v>36</v>
      </c>
      <c r="I470">
        <v>28296</v>
      </c>
      <c r="J470">
        <v>3</v>
      </c>
      <c r="K470">
        <v>4</v>
      </c>
      <c r="L470">
        <v>6</v>
      </c>
      <c r="M470" t="s">
        <v>119</v>
      </c>
    </row>
    <row r="471" spans="1:13" x14ac:dyDescent="0.3">
      <c r="A471" t="s">
        <v>821</v>
      </c>
      <c r="B471" t="s">
        <v>784</v>
      </c>
      <c r="C471" t="s">
        <v>103</v>
      </c>
      <c r="D471" t="s">
        <v>79</v>
      </c>
      <c r="E471" t="s">
        <v>26</v>
      </c>
      <c r="F471" t="s">
        <v>27</v>
      </c>
      <c r="G471" t="s">
        <v>104</v>
      </c>
      <c r="H471" t="s">
        <v>36</v>
      </c>
      <c r="I471">
        <v>17940</v>
      </c>
      <c r="J471">
        <v>3</v>
      </c>
      <c r="K471">
        <v>4.7</v>
      </c>
      <c r="L471">
        <v>5</v>
      </c>
      <c r="M471" t="s">
        <v>192</v>
      </c>
    </row>
    <row r="472" spans="1:13" x14ac:dyDescent="0.3">
      <c r="A472" t="s">
        <v>822</v>
      </c>
      <c r="B472" t="s">
        <v>371</v>
      </c>
      <c r="C472" t="s">
        <v>68</v>
      </c>
      <c r="D472" t="s">
        <v>59</v>
      </c>
      <c r="E472" t="s">
        <v>26</v>
      </c>
      <c r="F472" t="s">
        <v>83</v>
      </c>
      <c r="G472" t="s">
        <v>19</v>
      </c>
      <c r="H472" t="s">
        <v>20</v>
      </c>
      <c r="I472">
        <v>8744</v>
      </c>
      <c r="J472">
        <v>1</v>
      </c>
      <c r="K472">
        <v>3.9</v>
      </c>
      <c r="L472">
        <v>3</v>
      </c>
      <c r="M472" t="s">
        <v>80</v>
      </c>
    </row>
    <row r="473" spans="1:13" x14ac:dyDescent="0.3">
      <c r="A473" t="s">
        <v>823</v>
      </c>
      <c r="B473" t="s">
        <v>545</v>
      </c>
      <c r="C473" t="s">
        <v>72</v>
      </c>
      <c r="D473" t="s">
        <v>147</v>
      </c>
      <c r="E473" t="s">
        <v>52</v>
      </c>
      <c r="F473" t="s">
        <v>60</v>
      </c>
      <c r="G473" t="s">
        <v>104</v>
      </c>
      <c r="H473" t="s">
        <v>20</v>
      </c>
      <c r="I473">
        <v>5816</v>
      </c>
      <c r="J473">
        <v>8</v>
      </c>
      <c r="K473">
        <v>3.8</v>
      </c>
      <c r="L473">
        <v>6</v>
      </c>
      <c r="M473" t="s">
        <v>47</v>
      </c>
    </row>
    <row r="474" spans="1:13" x14ac:dyDescent="0.3">
      <c r="A474" t="s">
        <v>824</v>
      </c>
      <c r="B474" t="s">
        <v>825</v>
      </c>
      <c r="C474" t="s">
        <v>133</v>
      </c>
      <c r="D474" t="s">
        <v>113</v>
      </c>
      <c r="E474" t="s">
        <v>35</v>
      </c>
      <c r="F474" t="s">
        <v>27</v>
      </c>
      <c r="G474" t="s">
        <v>54</v>
      </c>
      <c r="H474" t="s">
        <v>36</v>
      </c>
      <c r="I474">
        <v>128788</v>
      </c>
      <c r="J474">
        <v>4</v>
      </c>
      <c r="K474">
        <v>3.6</v>
      </c>
      <c r="L474">
        <v>2</v>
      </c>
      <c r="M474" t="s">
        <v>80</v>
      </c>
    </row>
    <row r="475" spans="1:13" x14ac:dyDescent="0.3">
      <c r="A475" t="s">
        <v>826</v>
      </c>
      <c r="B475" t="s">
        <v>692</v>
      </c>
      <c r="C475" t="s">
        <v>103</v>
      </c>
      <c r="D475" t="s">
        <v>116</v>
      </c>
      <c r="E475" t="s">
        <v>17</v>
      </c>
      <c r="F475" t="s">
        <v>18</v>
      </c>
      <c r="G475" t="s">
        <v>54</v>
      </c>
      <c r="H475" t="s">
        <v>29</v>
      </c>
      <c r="I475">
        <v>702</v>
      </c>
      <c r="J475">
        <v>1</v>
      </c>
      <c r="K475">
        <v>3.3</v>
      </c>
      <c r="L475">
        <v>2</v>
      </c>
      <c r="M475" t="s">
        <v>47</v>
      </c>
    </row>
    <row r="476" spans="1:13" x14ac:dyDescent="0.3">
      <c r="A476" t="s">
        <v>827</v>
      </c>
      <c r="B476" t="s">
        <v>593</v>
      </c>
      <c r="C476" t="s">
        <v>58</v>
      </c>
      <c r="D476" t="s">
        <v>16</v>
      </c>
      <c r="E476" t="s">
        <v>17</v>
      </c>
      <c r="F476" t="s">
        <v>53</v>
      </c>
      <c r="G476" t="s">
        <v>104</v>
      </c>
      <c r="H476" t="s">
        <v>20</v>
      </c>
      <c r="I476">
        <v>6012</v>
      </c>
      <c r="J476">
        <v>4</v>
      </c>
      <c r="K476">
        <v>3.4</v>
      </c>
      <c r="L476">
        <v>5</v>
      </c>
      <c r="M476" t="s">
        <v>80</v>
      </c>
    </row>
    <row r="477" spans="1:13" x14ac:dyDescent="0.3">
      <c r="A477" t="s">
        <v>828</v>
      </c>
      <c r="B477" t="s">
        <v>829</v>
      </c>
      <c r="C477" t="s">
        <v>78</v>
      </c>
      <c r="D477" t="s">
        <v>79</v>
      </c>
      <c r="E477" t="s">
        <v>26</v>
      </c>
      <c r="F477" t="s">
        <v>18</v>
      </c>
      <c r="G477" t="s">
        <v>54</v>
      </c>
      <c r="H477" t="s">
        <v>20</v>
      </c>
      <c r="I477">
        <v>7876</v>
      </c>
      <c r="J477">
        <v>2</v>
      </c>
      <c r="K477">
        <v>4.9000000000000004</v>
      </c>
      <c r="L477">
        <v>3</v>
      </c>
      <c r="M477" t="s">
        <v>65</v>
      </c>
    </row>
    <row r="478" spans="1:13" x14ac:dyDescent="0.3">
      <c r="A478" t="s">
        <v>830</v>
      </c>
      <c r="B478" t="s">
        <v>799</v>
      </c>
      <c r="C478" t="s">
        <v>133</v>
      </c>
      <c r="D478" t="s">
        <v>69</v>
      </c>
      <c r="E478" t="s">
        <v>26</v>
      </c>
      <c r="F478" t="s">
        <v>18</v>
      </c>
      <c r="G478" t="s">
        <v>104</v>
      </c>
      <c r="H478" t="s">
        <v>36</v>
      </c>
      <c r="I478">
        <v>21057</v>
      </c>
      <c r="J478">
        <v>3</v>
      </c>
      <c r="K478">
        <v>4</v>
      </c>
      <c r="L478">
        <v>4</v>
      </c>
      <c r="M478" t="s">
        <v>55</v>
      </c>
    </row>
    <row r="479" spans="1:13" x14ac:dyDescent="0.3">
      <c r="A479" t="s">
        <v>831</v>
      </c>
      <c r="B479" t="s">
        <v>729</v>
      </c>
      <c r="C479" t="s">
        <v>68</v>
      </c>
      <c r="D479" t="s">
        <v>41</v>
      </c>
      <c r="E479" t="s">
        <v>42</v>
      </c>
      <c r="F479" t="s">
        <v>60</v>
      </c>
      <c r="G479" t="s">
        <v>104</v>
      </c>
      <c r="H479" t="s">
        <v>64</v>
      </c>
      <c r="I479">
        <v>15792</v>
      </c>
      <c r="J479">
        <v>3</v>
      </c>
      <c r="K479">
        <v>3.3</v>
      </c>
      <c r="L479">
        <v>8</v>
      </c>
      <c r="M479" t="s">
        <v>65</v>
      </c>
    </row>
    <row r="480" spans="1:13" x14ac:dyDescent="0.3">
      <c r="A480" t="s">
        <v>832</v>
      </c>
      <c r="B480" t="s">
        <v>833</v>
      </c>
      <c r="C480" t="s">
        <v>129</v>
      </c>
      <c r="D480" t="s">
        <v>59</v>
      </c>
      <c r="E480" t="s">
        <v>26</v>
      </c>
      <c r="F480" t="s">
        <v>83</v>
      </c>
      <c r="G480" t="s">
        <v>54</v>
      </c>
      <c r="H480" t="s">
        <v>64</v>
      </c>
      <c r="I480">
        <v>31144</v>
      </c>
      <c r="J480">
        <v>8</v>
      </c>
      <c r="K480">
        <v>4.7</v>
      </c>
      <c r="L480">
        <v>8</v>
      </c>
      <c r="M480" t="s">
        <v>119</v>
      </c>
    </row>
    <row r="481" spans="1:13" x14ac:dyDescent="0.3">
      <c r="A481" t="s">
        <v>834</v>
      </c>
      <c r="B481" t="s">
        <v>82</v>
      </c>
      <c r="C481" t="s">
        <v>75</v>
      </c>
      <c r="D481" t="s">
        <v>116</v>
      </c>
      <c r="E481" t="s">
        <v>17</v>
      </c>
      <c r="F481" t="s">
        <v>53</v>
      </c>
      <c r="G481" t="s">
        <v>19</v>
      </c>
      <c r="H481" t="s">
        <v>29</v>
      </c>
      <c r="I481">
        <v>1088</v>
      </c>
      <c r="J481">
        <v>2</v>
      </c>
      <c r="K481">
        <v>5</v>
      </c>
      <c r="L481">
        <v>3</v>
      </c>
      <c r="M481" t="s">
        <v>47</v>
      </c>
    </row>
    <row r="482" spans="1:13" x14ac:dyDescent="0.3">
      <c r="A482" t="s">
        <v>835</v>
      </c>
      <c r="B482" t="s">
        <v>203</v>
      </c>
      <c r="C482" t="s">
        <v>129</v>
      </c>
      <c r="D482" t="s">
        <v>51</v>
      </c>
      <c r="E482" t="s">
        <v>52</v>
      </c>
      <c r="F482" t="s">
        <v>60</v>
      </c>
      <c r="G482" t="s">
        <v>28</v>
      </c>
      <c r="H482" t="s">
        <v>64</v>
      </c>
      <c r="I482">
        <v>9176</v>
      </c>
      <c r="J482">
        <v>4</v>
      </c>
      <c r="K482">
        <v>3.7</v>
      </c>
      <c r="L482">
        <v>7</v>
      </c>
      <c r="M482" t="s">
        <v>80</v>
      </c>
    </row>
    <row r="483" spans="1:13" x14ac:dyDescent="0.3">
      <c r="A483" t="s">
        <v>836</v>
      </c>
      <c r="B483" t="s">
        <v>837</v>
      </c>
      <c r="C483" t="s">
        <v>15</v>
      </c>
      <c r="D483" t="s">
        <v>59</v>
      </c>
      <c r="E483" t="s">
        <v>26</v>
      </c>
      <c r="F483" t="s">
        <v>18</v>
      </c>
      <c r="G483" t="s">
        <v>54</v>
      </c>
      <c r="H483" t="s">
        <v>36</v>
      </c>
      <c r="I483">
        <v>71576</v>
      </c>
      <c r="J483">
        <v>8</v>
      </c>
      <c r="K483">
        <v>3.6</v>
      </c>
      <c r="L483">
        <v>3</v>
      </c>
      <c r="M483" t="s">
        <v>80</v>
      </c>
    </row>
    <row r="484" spans="1:13" x14ac:dyDescent="0.3">
      <c r="A484" t="s">
        <v>838</v>
      </c>
      <c r="B484" t="s">
        <v>393</v>
      </c>
      <c r="C484" t="s">
        <v>112</v>
      </c>
      <c r="D484" t="s">
        <v>41</v>
      </c>
      <c r="E484" t="s">
        <v>42</v>
      </c>
      <c r="F484" t="s">
        <v>60</v>
      </c>
      <c r="G484" t="s">
        <v>28</v>
      </c>
      <c r="H484" t="s">
        <v>20</v>
      </c>
      <c r="I484">
        <v>22260</v>
      </c>
      <c r="J484">
        <v>7</v>
      </c>
      <c r="K484">
        <v>4.3</v>
      </c>
      <c r="L484">
        <v>2</v>
      </c>
      <c r="M484" t="s">
        <v>37</v>
      </c>
    </row>
    <row r="485" spans="1:13" x14ac:dyDescent="0.3">
      <c r="A485" t="s">
        <v>839</v>
      </c>
      <c r="B485" t="s">
        <v>579</v>
      </c>
      <c r="C485" t="s">
        <v>133</v>
      </c>
      <c r="D485" t="s">
        <v>97</v>
      </c>
      <c r="E485" t="s">
        <v>35</v>
      </c>
      <c r="F485" t="s">
        <v>18</v>
      </c>
      <c r="G485" t="s">
        <v>28</v>
      </c>
      <c r="H485" t="s">
        <v>64</v>
      </c>
      <c r="I485">
        <v>366740</v>
      </c>
      <c r="J485">
        <v>5</v>
      </c>
      <c r="K485">
        <v>4.9000000000000004</v>
      </c>
      <c r="L485">
        <v>1</v>
      </c>
      <c r="M485" t="s">
        <v>65</v>
      </c>
    </row>
    <row r="486" spans="1:13" x14ac:dyDescent="0.3">
      <c r="A486" t="s">
        <v>840</v>
      </c>
      <c r="B486" t="s">
        <v>841</v>
      </c>
      <c r="C486" t="s">
        <v>24</v>
      </c>
      <c r="D486" t="s">
        <v>97</v>
      </c>
      <c r="E486" t="s">
        <v>35</v>
      </c>
      <c r="F486" t="s">
        <v>60</v>
      </c>
      <c r="G486" t="s">
        <v>28</v>
      </c>
      <c r="H486" t="s">
        <v>20</v>
      </c>
      <c r="I486">
        <v>205456</v>
      </c>
      <c r="J486">
        <v>8</v>
      </c>
      <c r="K486">
        <v>4.7</v>
      </c>
      <c r="L486">
        <v>5</v>
      </c>
      <c r="M486" t="s">
        <v>47</v>
      </c>
    </row>
    <row r="487" spans="1:13" x14ac:dyDescent="0.3">
      <c r="A487" t="s">
        <v>842</v>
      </c>
      <c r="B487" t="s">
        <v>843</v>
      </c>
      <c r="C487" t="s">
        <v>112</v>
      </c>
      <c r="D487" t="s">
        <v>97</v>
      </c>
      <c r="E487" t="s">
        <v>35</v>
      </c>
      <c r="F487" t="s">
        <v>18</v>
      </c>
      <c r="G487" t="s">
        <v>28</v>
      </c>
      <c r="H487" t="s">
        <v>29</v>
      </c>
      <c r="I487">
        <v>150170</v>
      </c>
      <c r="J487">
        <v>2</v>
      </c>
      <c r="K487">
        <v>4</v>
      </c>
      <c r="L487">
        <v>3</v>
      </c>
      <c r="M487" t="s">
        <v>65</v>
      </c>
    </row>
    <row r="488" spans="1:13" x14ac:dyDescent="0.3">
      <c r="A488" t="s">
        <v>844</v>
      </c>
      <c r="B488" t="s">
        <v>595</v>
      </c>
      <c r="C488" t="s">
        <v>129</v>
      </c>
      <c r="D488" t="s">
        <v>90</v>
      </c>
      <c r="E488" t="s">
        <v>42</v>
      </c>
      <c r="F488" t="s">
        <v>27</v>
      </c>
      <c r="G488" t="s">
        <v>54</v>
      </c>
      <c r="H488" t="s">
        <v>29</v>
      </c>
      <c r="I488">
        <v>5580</v>
      </c>
      <c r="J488">
        <v>6</v>
      </c>
      <c r="K488">
        <v>3.3</v>
      </c>
      <c r="L488">
        <v>6</v>
      </c>
      <c r="M488" t="s">
        <v>192</v>
      </c>
    </row>
    <row r="489" spans="1:13" x14ac:dyDescent="0.3">
      <c r="A489" t="s">
        <v>845</v>
      </c>
      <c r="B489" t="s">
        <v>846</v>
      </c>
      <c r="C489" t="s">
        <v>40</v>
      </c>
      <c r="D489" t="s">
        <v>41</v>
      </c>
      <c r="E489" t="s">
        <v>42</v>
      </c>
      <c r="F489" t="s">
        <v>100</v>
      </c>
      <c r="G489" t="s">
        <v>54</v>
      </c>
      <c r="H489" t="s">
        <v>36</v>
      </c>
      <c r="I489">
        <v>6972</v>
      </c>
      <c r="J489">
        <v>6</v>
      </c>
      <c r="K489">
        <v>3.6</v>
      </c>
      <c r="L489">
        <v>4</v>
      </c>
      <c r="M489" t="s">
        <v>47</v>
      </c>
    </row>
    <row r="490" spans="1:13" x14ac:dyDescent="0.3">
      <c r="A490" t="s">
        <v>847</v>
      </c>
      <c r="B490" t="s">
        <v>156</v>
      </c>
      <c r="C490" t="s">
        <v>58</v>
      </c>
      <c r="D490" t="s">
        <v>113</v>
      </c>
      <c r="E490" t="s">
        <v>35</v>
      </c>
      <c r="F490" t="s">
        <v>100</v>
      </c>
      <c r="G490" t="s">
        <v>28</v>
      </c>
      <c r="H490" t="s">
        <v>29</v>
      </c>
      <c r="I490">
        <v>135732</v>
      </c>
      <c r="J490">
        <v>3</v>
      </c>
      <c r="K490">
        <v>4.4000000000000004</v>
      </c>
      <c r="L490">
        <v>7</v>
      </c>
      <c r="M490" t="s">
        <v>126</v>
      </c>
    </row>
    <row r="491" spans="1:13" x14ac:dyDescent="0.3">
      <c r="A491" t="s">
        <v>848</v>
      </c>
      <c r="B491" t="s">
        <v>543</v>
      </c>
      <c r="C491" t="s">
        <v>68</v>
      </c>
      <c r="D491" t="s">
        <v>116</v>
      </c>
      <c r="E491" t="s">
        <v>17</v>
      </c>
      <c r="F491" t="s">
        <v>27</v>
      </c>
      <c r="G491" t="s">
        <v>19</v>
      </c>
      <c r="H491" t="s">
        <v>29</v>
      </c>
      <c r="I491">
        <v>948</v>
      </c>
      <c r="J491">
        <v>1</v>
      </c>
      <c r="K491">
        <v>4.2</v>
      </c>
      <c r="L491">
        <v>8</v>
      </c>
      <c r="M491" t="s">
        <v>30</v>
      </c>
    </row>
    <row r="492" spans="1:13" x14ac:dyDescent="0.3">
      <c r="A492" t="s">
        <v>849</v>
      </c>
      <c r="B492" t="s">
        <v>415</v>
      </c>
      <c r="C492" t="s">
        <v>78</v>
      </c>
      <c r="D492" t="s">
        <v>46</v>
      </c>
      <c r="E492" t="s">
        <v>42</v>
      </c>
      <c r="F492" t="s">
        <v>83</v>
      </c>
      <c r="G492" t="s">
        <v>104</v>
      </c>
      <c r="H492" t="s">
        <v>29</v>
      </c>
      <c r="I492">
        <v>23855</v>
      </c>
      <c r="J492">
        <v>5</v>
      </c>
      <c r="K492">
        <v>4.7</v>
      </c>
      <c r="L492">
        <v>2</v>
      </c>
      <c r="M492" t="s">
        <v>80</v>
      </c>
    </row>
    <row r="493" spans="1:13" x14ac:dyDescent="0.3">
      <c r="A493" t="s">
        <v>850</v>
      </c>
      <c r="B493" t="s">
        <v>252</v>
      </c>
      <c r="C493" t="s">
        <v>58</v>
      </c>
      <c r="D493" t="s">
        <v>218</v>
      </c>
      <c r="E493" t="s">
        <v>17</v>
      </c>
      <c r="F493" t="s">
        <v>100</v>
      </c>
      <c r="G493" t="s">
        <v>28</v>
      </c>
      <c r="H493" t="s">
        <v>64</v>
      </c>
      <c r="I493">
        <v>5334</v>
      </c>
      <c r="J493">
        <v>7</v>
      </c>
      <c r="K493">
        <v>3.8</v>
      </c>
      <c r="L493">
        <v>2</v>
      </c>
      <c r="M493" t="s">
        <v>30</v>
      </c>
    </row>
    <row r="494" spans="1:13" x14ac:dyDescent="0.3">
      <c r="A494" t="s">
        <v>851</v>
      </c>
      <c r="B494" t="s">
        <v>263</v>
      </c>
      <c r="C494" t="s">
        <v>103</v>
      </c>
      <c r="D494" t="s">
        <v>109</v>
      </c>
      <c r="E494" t="s">
        <v>52</v>
      </c>
      <c r="F494" t="s">
        <v>100</v>
      </c>
      <c r="G494" t="s">
        <v>28</v>
      </c>
      <c r="H494" t="s">
        <v>20</v>
      </c>
      <c r="I494">
        <v>7390</v>
      </c>
      <c r="J494">
        <v>5</v>
      </c>
      <c r="K494">
        <v>3.6</v>
      </c>
      <c r="L494">
        <v>7</v>
      </c>
      <c r="M494" t="s">
        <v>87</v>
      </c>
    </row>
    <row r="495" spans="1:13" x14ac:dyDescent="0.3">
      <c r="A495" t="s">
        <v>852</v>
      </c>
      <c r="B495" t="s">
        <v>424</v>
      </c>
      <c r="C495" t="s">
        <v>58</v>
      </c>
      <c r="D495" t="s">
        <v>86</v>
      </c>
      <c r="E495" t="s">
        <v>17</v>
      </c>
      <c r="F495" t="s">
        <v>27</v>
      </c>
      <c r="G495" t="s">
        <v>54</v>
      </c>
      <c r="H495" t="s">
        <v>20</v>
      </c>
      <c r="I495">
        <v>5888</v>
      </c>
      <c r="J495">
        <v>8</v>
      </c>
      <c r="K495">
        <v>4.7</v>
      </c>
      <c r="L495">
        <v>7</v>
      </c>
      <c r="M495" t="s">
        <v>30</v>
      </c>
    </row>
    <row r="496" spans="1:13" x14ac:dyDescent="0.3">
      <c r="A496" t="s">
        <v>853</v>
      </c>
      <c r="B496" t="s">
        <v>837</v>
      </c>
      <c r="C496" t="s">
        <v>179</v>
      </c>
      <c r="D496" t="s">
        <v>97</v>
      </c>
      <c r="E496" t="s">
        <v>35</v>
      </c>
      <c r="F496" t="s">
        <v>60</v>
      </c>
      <c r="G496" t="s">
        <v>104</v>
      </c>
      <c r="H496" t="s">
        <v>29</v>
      </c>
      <c r="I496">
        <v>238268</v>
      </c>
      <c r="J496">
        <v>4</v>
      </c>
      <c r="K496">
        <v>4.7</v>
      </c>
      <c r="L496">
        <v>2</v>
      </c>
      <c r="M496" t="s">
        <v>80</v>
      </c>
    </row>
    <row r="497" spans="1:13" x14ac:dyDescent="0.3">
      <c r="A497" t="s">
        <v>854</v>
      </c>
      <c r="B497" t="s">
        <v>833</v>
      </c>
      <c r="C497" t="s">
        <v>146</v>
      </c>
      <c r="D497" t="s">
        <v>109</v>
      </c>
      <c r="E497" t="s">
        <v>52</v>
      </c>
      <c r="F497" t="s">
        <v>60</v>
      </c>
      <c r="G497" t="s">
        <v>28</v>
      </c>
      <c r="H497" t="s">
        <v>64</v>
      </c>
      <c r="I497">
        <v>4904</v>
      </c>
      <c r="J497">
        <v>4</v>
      </c>
      <c r="K497">
        <v>3.2</v>
      </c>
      <c r="L497">
        <v>5</v>
      </c>
      <c r="M497" t="s">
        <v>119</v>
      </c>
    </row>
    <row r="498" spans="1:13" x14ac:dyDescent="0.3">
      <c r="A498" t="s">
        <v>855</v>
      </c>
      <c r="B498" t="s">
        <v>487</v>
      </c>
      <c r="C498" t="s">
        <v>125</v>
      </c>
      <c r="D498" t="s">
        <v>86</v>
      </c>
      <c r="E498" t="s">
        <v>17</v>
      </c>
      <c r="F498" t="s">
        <v>18</v>
      </c>
      <c r="G498" t="s">
        <v>54</v>
      </c>
      <c r="H498" t="s">
        <v>36</v>
      </c>
      <c r="I498">
        <v>2895</v>
      </c>
      <c r="J498">
        <v>5</v>
      </c>
      <c r="K498">
        <v>4.2</v>
      </c>
      <c r="L498">
        <v>1</v>
      </c>
      <c r="M498" t="s">
        <v>80</v>
      </c>
    </row>
    <row r="499" spans="1:13" x14ac:dyDescent="0.3">
      <c r="A499" t="s">
        <v>856</v>
      </c>
      <c r="B499" t="s">
        <v>187</v>
      </c>
      <c r="C499" t="s">
        <v>112</v>
      </c>
      <c r="D499" t="s">
        <v>165</v>
      </c>
      <c r="E499" t="s">
        <v>35</v>
      </c>
      <c r="F499" t="s">
        <v>27</v>
      </c>
      <c r="G499" t="s">
        <v>104</v>
      </c>
      <c r="H499" t="s">
        <v>64</v>
      </c>
      <c r="I499">
        <v>28672</v>
      </c>
      <c r="J499">
        <v>2</v>
      </c>
      <c r="K499">
        <v>3.6</v>
      </c>
      <c r="L499">
        <v>2</v>
      </c>
      <c r="M499" t="s">
        <v>126</v>
      </c>
    </row>
    <row r="500" spans="1:13" x14ac:dyDescent="0.3">
      <c r="A500" t="s">
        <v>857</v>
      </c>
      <c r="B500" t="s">
        <v>250</v>
      </c>
      <c r="C500" t="s">
        <v>72</v>
      </c>
      <c r="D500" t="s">
        <v>86</v>
      </c>
      <c r="E500" t="s">
        <v>17</v>
      </c>
      <c r="F500" t="s">
        <v>18</v>
      </c>
      <c r="G500" t="s">
        <v>19</v>
      </c>
      <c r="H500" t="s">
        <v>20</v>
      </c>
      <c r="I500">
        <v>1882</v>
      </c>
      <c r="J500">
        <v>2</v>
      </c>
      <c r="K500">
        <v>4.9000000000000004</v>
      </c>
      <c r="L500">
        <v>4</v>
      </c>
      <c r="M500" t="s">
        <v>192</v>
      </c>
    </row>
    <row r="501" spans="1:13" x14ac:dyDescent="0.3">
      <c r="A501" t="s">
        <v>858</v>
      </c>
      <c r="B501" t="s">
        <v>859</v>
      </c>
      <c r="C501" t="s">
        <v>170</v>
      </c>
      <c r="D501" t="s">
        <v>97</v>
      </c>
      <c r="E501" t="s">
        <v>35</v>
      </c>
      <c r="F501" t="s">
        <v>100</v>
      </c>
      <c r="G501" t="s">
        <v>28</v>
      </c>
      <c r="H501" t="s">
        <v>64</v>
      </c>
      <c r="I501">
        <v>333860</v>
      </c>
      <c r="J501">
        <v>5</v>
      </c>
      <c r="K501">
        <v>4.5</v>
      </c>
      <c r="L501">
        <v>2</v>
      </c>
      <c r="M501" t="s">
        <v>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DF0B3-C69A-401D-9FFA-7D2726710FA7}">
  <sheetPr>
    <tabColor rgb="FF00B0F0"/>
  </sheetPr>
  <dimension ref="A1"/>
  <sheetViews>
    <sheetView showGridLines="0" tabSelected="1" topLeftCell="A2" workbookViewId="0">
      <selection activeCell="D33" sqref="D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Ujwala Priya</cp:lastModifiedBy>
  <dcterms:created xsi:type="dcterms:W3CDTF">2026-09-04T11:04:00Z</dcterms:created>
  <dcterms:modified xsi:type="dcterms:W3CDTF">2026-10-13T14:37:44Z</dcterms:modified>
</cp:coreProperties>
</file>